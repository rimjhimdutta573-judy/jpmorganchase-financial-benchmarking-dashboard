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worksheets/sheet1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xr:revisionPtr revIDLastSave="0" documentId="13_ncr:1_{12DFC02F-4A5C-4BB4-AB67-607F0DE9CFC7}" xr6:coauthVersionLast="47" xr6:coauthVersionMax="47" xr10:uidLastSave="{00000000-0000-0000-0000-000000000000}"/>
  <bookViews>
    <workbookView xWindow="760" yWindow="760" windowWidth="14400" windowHeight="7270" firstSheet="7" activeTab="10" xr2:uid="{00000000-000D-0000-FFFF-FFFF00000000}"/>
  </bookViews>
  <sheets>
    <sheet name="Pivot_Profitability_QoQ" sheetId="5" r:id="rId1"/>
    <sheet name="Pivot_Expense_QoQ" sheetId="6" r:id="rId2"/>
    <sheet name="Pivot_BalanceSheet_QoQ" sheetId="7" r:id="rId3"/>
    <sheet name="Pivot_Credit_QoQ" sheetId="8" r:id="rId4"/>
    <sheet name="Pivot_Employee_QoQ" sheetId="9" r:id="rId5"/>
    <sheet name="Pivot_Revenue_QoQ" sheetId="10" r:id="rId6"/>
    <sheet name="Pivot_Risk_QoQ" sheetId="11" r:id="rId7"/>
    <sheet name="Pivot_Segment_QoQ" sheetId="12" r:id="rId8"/>
    <sheet name="QoQ_Summary" sheetId="13" r:id="rId9"/>
    <sheet name="Raw_Data" sheetId="1" r:id="rId10"/>
    <sheet name="Dashboard" sheetId="17" r:id="rId11"/>
    <sheet name="Source_Notes" sheetId="18" r:id="rId21"/>
  </sheets>
  <calcPr calcId="191029"/>
  <pivotCaches>
    <pivotCache cacheId="5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5" i="13" l="1"/>
  <c r="N5" i="13"/>
  <c r="M5" i="13"/>
  <c r="P3" i="13"/>
  <c r="M3" i="13"/>
  <c r="P2" i="13"/>
  <c r="M2" i="13"/>
  <c r="K8" i="13"/>
  <c r="J8" i="13"/>
  <c r="J6" i="13"/>
  <c r="I3" i="13"/>
  <c r="F38" i="13"/>
  <c r="E38" i="13"/>
  <c r="D38" i="13"/>
  <c r="C38" i="13"/>
  <c r="B38" i="13"/>
  <c r="D37" i="13"/>
  <c r="C37" i="13"/>
  <c r="E37" i="13" s="1"/>
  <c r="B37" i="13"/>
  <c r="F37" i="13" s="1"/>
  <c r="D36" i="13"/>
  <c r="C36" i="13"/>
  <c r="E36" i="13" s="1"/>
  <c r="B36" i="13"/>
  <c r="D35" i="13"/>
  <c r="C35" i="13"/>
  <c r="E35" i="13" s="1"/>
  <c r="B35" i="13"/>
  <c r="F35" i="13" s="1"/>
  <c r="D34" i="13"/>
  <c r="C34" i="13"/>
  <c r="E34" i="13" s="1"/>
  <c r="B34" i="13"/>
  <c r="F34" i="13" s="1"/>
  <c r="F33" i="13"/>
  <c r="E33" i="13"/>
  <c r="D33" i="13"/>
  <c r="C33" i="13"/>
  <c r="B33" i="13"/>
  <c r="D32" i="13"/>
  <c r="C32" i="13"/>
  <c r="E32" i="13" s="1"/>
  <c r="B32" i="13"/>
  <c r="F32" i="13" s="1"/>
  <c r="D31" i="13"/>
  <c r="F31" i="13" s="1"/>
  <c r="C31" i="13"/>
  <c r="B31" i="13"/>
  <c r="J11" i="13" s="1"/>
  <c r="D30" i="13"/>
  <c r="C30" i="13"/>
  <c r="E30" i="13" s="1"/>
  <c r="B30" i="13"/>
  <c r="J10" i="13" s="1"/>
  <c r="D29" i="13"/>
  <c r="C29" i="13"/>
  <c r="E29" i="13" s="1"/>
  <c r="B29" i="13"/>
  <c r="P4" i="13" s="1"/>
  <c r="E28" i="13"/>
  <c r="D28" i="13"/>
  <c r="C28" i="13"/>
  <c r="B28" i="13"/>
  <c r="F28" i="13" s="1"/>
  <c r="D27" i="13"/>
  <c r="C27" i="13"/>
  <c r="E27" i="13" s="1"/>
  <c r="K7" i="13" s="1"/>
  <c r="B27" i="13"/>
  <c r="F27" i="13" s="1"/>
  <c r="F26" i="13"/>
  <c r="E26" i="13"/>
  <c r="N4" i="13" s="1"/>
  <c r="D26" i="13"/>
  <c r="C26" i="13"/>
  <c r="B26" i="13"/>
  <c r="M4" i="13" s="1"/>
  <c r="D25" i="13"/>
  <c r="C25" i="13"/>
  <c r="E25" i="13" s="1"/>
  <c r="B25" i="13"/>
  <c r="J5" i="13" s="1"/>
  <c r="D24" i="13"/>
  <c r="C24" i="13"/>
  <c r="E24" i="13" s="1"/>
  <c r="B24" i="13"/>
  <c r="J4" i="13" s="1"/>
  <c r="D23" i="13"/>
  <c r="C23" i="13"/>
  <c r="E23" i="13" s="1"/>
  <c r="B23" i="13"/>
  <c r="F23" i="13" s="1"/>
  <c r="D22" i="13"/>
  <c r="C22" i="13"/>
  <c r="E22" i="13" s="1"/>
  <c r="B22" i="13"/>
  <c r="P6" i="13" s="1"/>
  <c r="F21" i="13"/>
  <c r="E21" i="13"/>
  <c r="D21" i="13"/>
  <c r="C21" i="13"/>
  <c r="B21" i="13"/>
  <c r="D20" i="13"/>
  <c r="C20" i="13"/>
  <c r="E20" i="13" s="1"/>
  <c r="B20" i="13"/>
  <c r="F20" i="13" s="1"/>
  <c r="D19" i="13"/>
  <c r="F19" i="13" s="1"/>
  <c r="C19" i="13"/>
  <c r="B19" i="13"/>
  <c r="D18" i="13"/>
  <c r="C18" i="13"/>
  <c r="E18" i="13" s="1"/>
  <c r="B18" i="13"/>
  <c r="F18" i="13" s="1"/>
  <c r="D17" i="13"/>
  <c r="C17" i="13"/>
  <c r="E17" i="13" s="1"/>
  <c r="B17" i="13"/>
  <c r="F17" i="13" s="1"/>
  <c r="E16" i="13"/>
  <c r="D16" i="13"/>
  <c r="C16" i="13"/>
  <c r="B16" i="13"/>
  <c r="F16" i="13" s="1"/>
  <c r="D15" i="13"/>
  <c r="C15" i="13"/>
  <c r="E15" i="13" s="1"/>
  <c r="B15" i="13"/>
  <c r="F15" i="13" s="1"/>
  <c r="F14" i="13"/>
  <c r="E14" i="13"/>
  <c r="D14" i="13"/>
  <c r="C14" i="13"/>
  <c r="B14" i="13"/>
  <c r="D13" i="13"/>
  <c r="C13" i="13"/>
  <c r="E13" i="13" s="1"/>
  <c r="B13" i="13"/>
  <c r="F13" i="13" s="1"/>
  <c r="D12" i="13"/>
  <c r="C12" i="13"/>
  <c r="F12" i="13" s="1"/>
  <c r="B12" i="13"/>
  <c r="D11" i="13"/>
  <c r="C11" i="13"/>
  <c r="E11" i="13" s="1"/>
  <c r="B11" i="13"/>
  <c r="F11" i="13" s="1"/>
  <c r="D10" i="13"/>
  <c r="C10" i="13"/>
  <c r="E10" i="13" s="1"/>
  <c r="B10" i="13"/>
  <c r="F10" i="13" s="1"/>
  <c r="F9" i="13"/>
  <c r="E9" i="13"/>
  <c r="D9" i="13"/>
  <c r="C9" i="13"/>
  <c r="B9" i="13"/>
  <c r="D8" i="13"/>
  <c r="C8" i="13"/>
  <c r="E8" i="13" s="1"/>
  <c r="B8" i="13"/>
  <c r="F8" i="13" s="1"/>
  <c r="D7" i="13"/>
  <c r="F7" i="13" s="1"/>
  <c r="C7" i="13"/>
  <c r="B7" i="13"/>
  <c r="D6" i="13"/>
  <c r="C6" i="13"/>
  <c r="E6" i="13" s="1"/>
  <c r="B6" i="13"/>
  <c r="F6" i="13" s="1"/>
  <c r="D5" i="13"/>
  <c r="C5" i="13"/>
  <c r="E5" i="13" s="1"/>
  <c r="B5" i="13"/>
  <c r="F5" i="13" s="1"/>
  <c r="E4" i="13"/>
  <c r="D4" i="13"/>
  <c r="C4" i="13"/>
  <c r="B4" i="13"/>
  <c r="F4" i="13" s="1"/>
  <c r="D3" i="13"/>
  <c r="C3" i="13"/>
  <c r="E3" i="13" s="1"/>
  <c r="B3" i="13"/>
  <c r="F3" i="13" s="1"/>
  <c r="F2" i="13"/>
  <c r="E2" i="13"/>
  <c r="D2" i="13"/>
  <c r="C2" i="13"/>
  <c r="B2" i="13"/>
  <c r="Q5" i="13" l="1"/>
  <c r="K3" i="13"/>
  <c r="K2" i="13"/>
  <c r="Q6" i="13"/>
  <c r="N6" i="13"/>
  <c r="Q4" i="13"/>
  <c r="K9" i="13"/>
  <c r="Q2" i="13"/>
  <c r="K10" i="13"/>
  <c r="K4" i="13"/>
  <c r="N3" i="13"/>
  <c r="N2" i="13"/>
  <c r="K5" i="13"/>
  <c r="E7" i="13"/>
  <c r="E31" i="13"/>
  <c r="K6" i="13"/>
  <c r="F24" i="13"/>
  <c r="J7" i="13"/>
  <c r="J2" i="13"/>
  <c r="J3" i="13"/>
  <c r="F25" i="13"/>
  <c r="F29" i="13"/>
  <c r="F22" i="13"/>
  <c r="I2" i="13" s="1"/>
  <c r="I4" i="13" s="1"/>
  <c r="M6" i="13"/>
  <c r="J9" i="13"/>
  <c r="F30" i="13"/>
  <c r="E19" i="13"/>
  <c r="E12" i="13"/>
  <c r="F36" i="13"/>
  <c r="K11" i="13" l="1"/>
  <c r="Q3" i="13"/>
  <c r="G9" i="17"/>
  <c r="G8" i="17"/>
  <c r="G7"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D6C192-1A23-4B7D-95B1-DCCA1867F29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<sst xmlns="http://schemas.openxmlformats.org/spreadsheetml/2006/main" count="467" uniqueCount="117">
  <si>
    <t>Metric_ID</t>
  </si>
  <si>
    <t>Category</t>
  </si>
  <si>
    <t>Metric_Name</t>
  </si>
  <si>
    <t>Unit</t>
  </si>
  <si>
    <t>Basis</t>
  </si>
  <si>
    <t>Source_Page</t>
  </si>
  <si>
    <t>2Q26</t>
  </si>
  <si>
    <t>1Q26</t>
  </si>
  <si>
    <t>4Q25</t>
  </si>
  <si>
    <t>3Q25</t>
  </si>
  <si>
    <t>2Q25</t>
  </si>
  <si>
    <t>M001</t>
  </si>
  <si>
    <t>Profitability</t>
  </si>
  <si>
    <t>Total Net Revenue</t>
  </si>
  <si>
    <t>Reported</t>
  </si>
  <si>
    <t>$mm</t>
  </si>
  <si>
    <t>M002</t>
  </si>
  <si>
    <t>Total Noninterest Expense</t>
  </si>
  <si>
    <t>M003</t>
  </si>
  <si>
    <t>Pre Provision Profit</t>
  </si>
  <si>
    <t>M004</t>
  </si>
  <si>
    <t>M005</t>
  </si>
  <si>
    <t>Credit</t>
  </si>
  <si>
    <t>Provision for Credit Losses</t>
  </si>
  <si>
    <t>Net Income</t>
  </si>
  <si>
    <t>M006</t>
  </si>
  <si>
    <t>M007</t>
  </si>
  <si>
    <t>M008</t>
  </si>
  <si>
    <t>M009</t>
  </si>
  <si>
    <t>M010</t>
  </si>
  <si>
    <t>M011</t>
  </si>
  <si>
    <t>M012</t>
  </si>
  <si>
    <t>M013</t>
  </si>
  <si>
    <t>M014</t>
  </si>
  <si>
    <t>M015</t>
  </si>
  <si>
    <t>M016</t>
  </si>
  <si>
    <t>M017</t>
  </si>
  <si>
    <t>M018</t>
  </si>
  <si>
    <t>M019</t>
  </si>
  <si>
    <t>M020</t>
  </si>
  <si>
    <t>M021</t>
  </si>
  <si>
    <t>M022</t>
  </si>
  <si>
    <t>M023</t>
  </si>
  <si>
    <t>M024</t>
  </si>
  <si>
    <t>Segment</t>
  </si>
  <si>
    <t>Managed</t>
  </si>
  <si>
    <t>Segment Net Revenue</t>
  </si>
  <si>
    <t>Segment Noninterest Expense</t>
  </si>
  <si>
    <t>Segment Pre-Provision Profit</t>
  </si>
  <si>
    <t>Segment Provision for Credit Losses</t>
  </si>
  <si>
    <t>Segment for net income</t>
  </si>
  <si>
    <t>Balance sheet</t>
  </si>
  <si>
    <t>Total Assets</t>
  </si>
  <si>
    <t>Total Loans</t>
  </si>
  <si>
    <t>Total Deposits</t>
  </si>
  <si>
    <t>Common Stockholders' Equity</t>
  </si>
  <si>
    <t>Long-Term Debt</t>
  </si>
  <si>
    <t>Loans-to-Deposits Ratio</t>
  </si>
  <si>
    <t>%</t>
  </si>
  <si>
    <t>Employees</t>
  </si>
  <si>
    <t>#</t>
  </si>
  <si>
    <t>Risk</t>
  </si>
  <si>
    <t>Average VaR</t>
  </si>
  <si>
    <t>Earnings-at-Risk +100 bps shift in rates</t>
  </si>
  <si>
    <t>$bn</t>
  </si>
  <si>
    <t>Earnings-at-Risk -100 bps shift in rates</t>
  </si>
  <si>
    <t>Revenue</t>
  </si>
  <si>
    <t>Investment banking fees</t>
  </si>
  <si>
    <t>Principal transactions</t>
  </si>
  <si>
    <t>Lending- and deposit-related fees</t>
  </si>
  <si>
    <t>Asset management fees</t>
  </si>
  <si>
    <t>M025</t>
  </si>
  <si>
    <t>M026</t>
  </si>
  <si>
    <t>M027</t>
  </si>
  <si>
    <t>M028</t>
  </si>
  <si>
    <t>M029</t>
  </si>
  <si>
    <t>M030</t>
  </si>
  <si>
    <t>Commissions and other fees</t>
  </si>
  <si>
    <t>Investment securities gains/(losses)</t>
  </si>
  <si>
    <t>Mortgage fees and related income</t>
  </si>
  <si>
    <t>Card income</t>
  </si>
  <si>
    <t>Other income</t>
  </si>
  <si>
    <t>Total net revenue</t>
  </si>
  <si>
    <t>M031</t>
  </si>
  <si>
    <t>Expense</t>
  </si>
  <si>
    <t>Compensation expense</t>
  </si>
  <si>
    <t>M032</t>
  </si>
  <si>
    <t>M033</t>
  </si>
  <si>
    <t>M034</t>
  </si>
  <si>
    <t>M035</t>
  </si>
  <si>
    <t>M036</t>
  </si>
  <si>
    <t>M037</t>
  </si>
  <si>
    <t>Occupancy expense</t>
  </si>
  <si>
    <t>Technology, communications and equipment expense</t>
  </si>
  <si>
    <t>Professional and outside services</t>
  </si>
  <si>
    <t>Marketing</t>
  </si>
  <si>
    <t>Other expense</t>
  </si>
  <si>
    <t>Total noninterest expense</t>
  </si>
  <si>
    <t>Sum of 2Q26</t>
  </si>
  <si>
    <t>Sum of 1Q26</t>
  </si>
  <si>
    <t>Sum of QoQ Growth %</t>
  </si>
  <si>
    <t>Metric</t>
  </si>
  <si>
    <t>Metric ID</t>
  </si>
  <si>
    <t>Metric Name</t>
  </si>
  <si>
    <t>Value</t>
  </si>
  <si>
    <t>JPMC Financial Performance Dashboard (QoQ Analysis)</t>
  </si>
  <si>
    <t>QoQ Change %</t>
  </si>
  <si>
    <t>Row Reconciliation</t>
  </si>
  <si>
    <t>Control</t>
  </si>
  <si>
    <t>Result</t>
  </si>
  <si>
    <t>Reconciled rows</t>
  </si>
  <si>
    <t>Expected rows</t>
  </si>
  <si>
    <t>Overall status</t>
  </si>
  <si>
    <t>Revenue Metric</t>
  </si>
  <si>
    <t>Highest Revenue QoQ Change</t>
  </si>
  <si>
    <t>Median Revenue QoQ Change</t>
  </si>
  <si>
    <t>Lowest Revenue QoQ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</si>
</sst>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
    <numFmt numFmtId="167" formatCode="0.0%;\(0.0%\);\-"/>
  </numFmts>
  <fonts count="8" x14ac:knownFonts="1">
    <font>
      <sz val="11"/>
      <color theme="1"/>
      <name val="Calibri"/>
      <family val="2"/>
      <scheme val="minor"/>
    </font>
    <font>
      <sz val="11"/>
      <color theme="1"/>
      <name val="Calibri"/>
      <family val="2"/>
      <scheme val="minor"/>
    </font>
    <font>
      <sz val="10"/>
      <name val="Arial"/>
      <family val="2"/>
    </font>
    <font>
      <sz val="8"/>
      <name val="Calibri"/>
      <family val="2"/>
      <scheme val="minor"/>
    </font>
    <font>
      <b/>
      <sz val="11"/>
      <color theme="1"/>
      <name val="Calibri"/>
      <family val="2"/>
      <scheme val="minor"/>
    </font>
    <font>
      <sz val="11"/>
      <color theme="0"/>
      <name val="Calibri"/>
      <family val="2"/>
      <scheme val="minor"/>
    </font>
    <font>
      <sz val="12"/>
      <color theme="0"/>
      <name val="Times New Roman"/>
      <family val="1"/>
    </font>
    <font>
      <b/>
      <sz val="11"/>
      <color rgb="FFFFFFFF"/>
      <name val="Calibri"/>
      <family val="2"/>
      <scheme val="minor"/>
    </font>
  </fonts>
  <fills count="4">
    <fill>
      <patternFill patternType="none"/>
    </fill>
    <fill>
      <patternFill patternType="gray125"/>
    </fill>
    <fill>
      <patternFill patternType="solid">
        <fgColor theme="3" tint="-0.499984740745262"/>
        <bgColor indexed="64"/>
      </patternFill>
    </fill>
    <fill>
      <patternFill patternType="solid">
        <fgColor rgb="FF222B35"/>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35">
    <xf numFmtId="0" fontId="0" fillId="0" borderId="0" xfId="0"/>
    <xf numFmtId="9" fontId="0" fillId="0" borderId="0" xfId="0" applyNumberFormat="1"/>
    <xf numFmtId="3" fontId="0" fillId="0" borderId="0" xfId="0" applyNumberFormat="1"/>
    <xf numFmtId="0" fontId="0" fillId="0" borderId="0" xfId="0" pivotButton="1"/>
    <xf numFmtId="0" fontId="0" fillId="0" borderId="0" xfId="0" applyAlignment="1">
      <alignment horizontal="left" indent="1"/>
    </xf>
    <xf numFmtId="0" fontId="0" fillId="0" borderId="0" xfId="0" applyNumberFormat="1"/>
    <xf numFmtId="164" fontId="0" fillId="0" borderId="0" xfId="0" applyNumberFormat="1"/>
    <xf numFmtId="0" fontId="4" fillId="0" borderId="1" xfId="0" applyFont="1" applyBorder="1" applyAlignment="1">
      <alignment horizontal="left"/>
    </xf>
    <xf numFmtId="0" fontId="4" fillId="0" borderId="1" xfId="0" applyNumberFormat="1" applyFont="1" applyBorder="1"/>
    <xf numFmtId="164" fontId="4" fillId="0" borderId="1" xfId="0" applyNumberFormat="1" applyFont="1" applyBorder="1"/>
    <xf numFmtId="0" fontId="0" fillId="0" borderId="1" xfId="0" applyBorder="1"/>
    <xf numFmtId="0" fontId="4" fillId="0" borderId="0" xfId="0" applyFont="1" applyBorder="1" applyAlignment="1">
      <alignment horizontal="left"/>
    </xf>
    <xf numFmtId="0" fontId="4" fillId="0" borderId="0" xfId="0" applyNumberFormat="1" applyFont="1" applyBorder="1"/>
    <xf numFmtId="164" fontId="0" fillId="0" borderId="1" xfId="0" applyNumberFormat="1" applyBorder="1"/>
    <xf numFmtId="164" fontId="4" fillId="0" borderId="0" xfId="0" applyNumberFormat="1" applyFont="1" applyBorder="1"/>
    <xf numFmtId="165" fontId="0" fillId="0" borderId="0" xfId="0" applyNumberFormat="1"/>
    <xf numFmtId="166" fontId="0" fillId="0" borderId="0" xfId="0" applyNumberFormat="1"/>
    <xf numFmtId="0" fontId="0" fillId="0" borderId="0" xfId="0" applyAlignment="1">
      <alignment horizontal="center"/>
    </xf>
    <xf numFmtId="165" fontId="0" fillId="0" borderId="0" xfId="0" applyNumberFormat="1" applyAlignment="1">
      <alignment horizontal="center"/>
    </xf>
    <xf numFmtId="0" fontId="5" fillId="2" borderId="0" xfId="0" applyFont="1" applyFill="1"/>
    <xf numFmtId="0" fontId="5" fillId="2" borderId="0" xfId="0" applyFont="1" applyFill="1" applyAlignment="1">
      <alignment horizontal="center" vertical="center"/>
    </xf>
    <xf numFmtId="164" fontId="5" fillId="2" borderId="0" xfId="0" applyNumberFormat="1" applyFont="1" applyFill="1" applyAlignment="1">
      <alignment horizontal="center" vertical="center"/>
    </xf>
    <xf numFmtId="164" fontId="0" fillId="0" borderId="0" xfId="0" applyNumberFormat="1" applyFill="1"/>
    <xf numFmtId="164" fontId="0" fillId="0" borderId="1" xfId="0" applyNumberFormat="1" applyFill="1" applyBorder="1"/>
    <xf numFmtId="164" fontId="4" fillId="0" borderId="1" xfId="0" applyNumberFormat="1" applyFont="1" applyFill="1" applyBorder="1"/>
    <xf numFmtId="167" fontId="0" fillId="0" borderId="1" xfId="0" applyNumberFormat="1" applyBorder="1"/>
    <xf numFmtId="167" fontId="0" fillId="0" borderId="0" xfId="0" applyNumberFormat="1"/>
    <xf numFmtId="167" fontId="4" fillId="0" borderId="1" xfId="0" applyNumberFormat="1" applyFont="1" applyBorder="1"/>
    <xf numFmtId="167" fontId="4" fillId="0" borderId="0" xfId="0" applyNumberFormat="1" applyFont="1" applyBorder="1"/>
    <xf numFmtId="0" fontId="7" fillId="3" borderId="0" xfId="0" applyFont="1" applyFill="1"/>
    <xf numFmtId="0" fontId="7" fillId="3" borderId="2" xfId="0" applyFont="1" applyFill="1" applyBorder="1"/>
    <xf numFmtId="0" fontId="0" fillId="0" borderId="2" xfId="0" applyBorder="1"/>
    <xf numFmtId="164" fontId="7" fillId="3" borderId="0" xfId="0" applyNumberFormat="1" applyFont="1" applyFill="1"/>
    <xf numFmtId="167" fontId="0" fillId="0" borderId="0" xfId="0" applyNumberFormat="1" applyAlignment="1">
      <alignment horizontal="center"/>
    </xf>
    <xf numFmtId="0" fontId="6" fillId="2" borderId="0" xfId="0" applyFont="1" applyFill="1" applyAlignment="1">
      <alignment horizontal="center" vertical="center" wrapText="1"/>
    </xf>
  </cellXfs>
  <cellStyles count="3">
    <cellStyle name="Normal" xfId="0" builtinId="0"/>
    <cellStyle name="Normal 2" xfId="1" xr:uid="{1E5A395F-0AC1-4E5A-8F3D-858DBF260075}"/>
    <cellStyle name="Normal 3" xfId="2" xr:uid="{B7CF9F8A-08D2-4E0F-B747-11BB7B19BBE5}"/>
  </cellStyles>
  <dxfs count="16">
    <dxf>
      <numFmt numFmtId="167" formatCode="0.0%;\(0.0%\);\-"/>
      <alignment horizontal="center" vertical="bottom" textRotation="0" wrapText="0" indent="0" justifyLastLine="0" shrinkToFit="0" readingOrder="0"/>
    </dxf>
    <dxf>
      <alignment horizontal="center" vertical="bottom"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1" Type="http://schemas.openxmlformats.org/officeDocument/2006/relationships/worksheet" Target="worksheets/sheet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Metrics with Lowest QoQ Change</a:t>
            </a:r>
          </a:p>
        </c:rich>
      </c:tx>
      <c:overlay val="0"/>
    </c:title>
    <c:autoTitleDeleted val="0"/>
    <c:plotArea>
      <c:layout/>
      <c:barChart>
        <c:barDir val="bar"/>
        <c:grouping val="clustered"/>
        <c:varyColors val="0"/>
        <c:ser>
          <c:idx val="0"/>
          <c:order val="0"/>
          <c:tx>
            <c:strRef>
              <c:f>QoQ_Summary!$N$1</c:f>
              <c:strCache>
                <c:ptCount val="1"/>
                <c:pt idx="0">
                  <c:v>QoQ Change %</c:v>
                </c:pt>
              </c:strCache>
            </c:strRef>
          </c:tx>
          <c:invertIfNegative val="0"/>
          <c:cat>
            <c:strRef>
              <c:f>QoQ_Summary!$M$2:$M$5</c:f>
              <c:strCache>
                <c:ptCount val="4"/>
                <c:pt idx="0">
                  <c:v>Asset management fees</c:v>
                </c:pt>
                <c:pt idx="1">
                  <c:v>Lending- and deposit-related fees</c:v>
                </c:pt>
                <c:pt idx="2">
                  <c:v>Commissions and other fees</c:v>
                </c:pt>
                <c:pt idx="3">
                  <c:v>Mortgage fees and related income</c:v>
                </c:pt>
              </c:strCache>
            </c:strRef>
          </c:cat>
          <c:val>
            <c:numRef>
              <c:f>QoQ_Summary!$N$2:$N$5</c:f>
              <c:numCache>
                <c:formatCode>0.0%;\(0.0%\);\-</c:formatCode>
                <c:ptCount val="4"/>
                <c:pt idx="0">
                  <c:v>2.5929283771532186E-2</c:v>
                </c:pt>
                <c:pt idx="1">
                  <c:v>4.8872180451127817E-2</c:v>
                </c:pt>
                <c:pt idx="2">
                  <c:v>5.3182917002417403E-2</c:v>
                </c:pt>
                <c:pt idx="3">
                  <c:v>8.7378640776699032E-2</c:v>
                </c:pt>
              </c:numCache>
            </c:numRef>
          </c:val>
          <c:extLst>
            <c:ext xmlns:c16="http://schemas.microsoft.com/office/drawing/2014/chart" uri="{C3380CC4-5D6E-409C-BE32-E72D297353CC}">
              <c16:uniqueId val="{00000000-65D3-4DD2-A8FE-97D188D85472}"/>
            </c:ext>
          </c:extLst>
        </c:ser>
        <c:dLbls>
          <c:showLegendKey val="0"/>
          <c:showVal val="0"/>
          <c:showCatName val="0"/>
          <c:showSerName val="0"/>
          <c:showPercent val="0"/>
          <c:showBubbleSize val="0"/>
        </c:dLbls>
        <c:gapWidth val="150"/>
        <c:axId val="1294542144"/>
        <c:axId val="1294542976"/>
      </c:barChart>
      <c:catAx>
        <c:axId val="1294542144"/>
        <c:scaling>
          <c:orientation val="minMax"/>
        </c:scaling>
        <c:delete val="0"/>
        <c:axPos val="l"/>
        <c:numFmt formatCode="General" sourceLinked="1"/>
        <c:majorTickMark val="out"/>
        <c:minorTickMark val="none"/>
        <c:tickLblPos val="nextTo"/>
        <c:crossAx val="1294542976"/>
        <c:crosses val="autoZero"/>
        <c:auto val="1"/>
        <c:lblAlgn val="ctr"/>
        <c:lblOffset val="100"/>
        <c:noMultiLvlLbl val="0"/>
      </c:catAx>
      <c:valAx>
        <c:axId val="1294542976"/>
        <c:scaling>
          <c:orientation val="minMax"/>
        </c:scaling>
        <c:delete val="0"/>
        <c:axPos val="b"/>
        <c:majorGridlines/>
        <c:numFmt formatCode="0.0%;\(0.0%\)" sourceLinked="0"/>
        <c:majorTickMark val="out"/>
        <c:minorTickMark val="none"/>
        <c:tickLblPos val="nextTo"/>
        <c:crossAx val="1294542144"/>
        <c:crosses val="autoZero"/>
        <c:crossBetween val="between"/>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Metrics with Highest QoQ Change</a:t>
            </a:r>
          </a:p>
        </c:rich>
      </c:tx>
      <c:overlay val="0"/>
    </c:title>
    <c:autoTitleDeleted val="0"/>
    <c:plotArea>
      <c:layout/>
      <c:barChart>
        <c:barDir val="bar"/>
        <c:grouping val="clustered"/>
        <c:varyColors val="0"/>
        <c:ser>
          <c:idx val="0"/>
          <c:order val="0"/>
          <c:tx>
            <c:strRef>
              <c:f>QoQ_Summary!$Q$1</c:f>
              <c:strCache>
                <c:ptCount val="1"/>
                <c:pt idx="0">
                  <c:v>QoQ Change %</c:v>
                </c:pt>
              </c:strCache>
            </c:strRef>
          </c:tx>
          <c:invertIfNegative val="0"/>
          <c:cat>
            <c:strRef>
              <c:f>QoQ_Summary!$P$2:$P$5</c:f>
              <c:strCache>
                <c:ptCount val="4"/>
                <c:pt idx="0">
                  <c:v>Other income</c:v>
                </c:pt>
                <c:pt idx="1">
                  <c:v>Total net revenue</c:v>
                </c:pt>
                <c:pt idx="2">
                  <c:v>Card income</c:v>
                </c:pt>
                <c:pt idx="3">
                  <c:v>Principal transactions</c:v>
                </c:pt>
              </c:strCache>
            </c:strRef>
          </c:cat>
          <c:val>
            <c:numRef>
              <c:f>QoQ_Summary!$Q$2:$Q$5</c:f>
              <c:numCache>
                <c:formatCode>0.0%;\(0.0%\);\-</c:formatCode>
                <c:ptCount val="4"/>
                <c:pt idx="0">
                  <c:v>3.5176540993417116</c:v>
                </c:pt>
                <c:pt idx="1">
                  <c:v>0.15071434304518821</c:v>
                </c:pt>
                <c:pt idx="2">
                  <c:v>0.13277310924369748</c:v>
                </c:pt>
                <c:pt idx="3">
                  <c:v>0.12770752472768249</c:v>
                </c:pt>
              </c:numCache>
            </c:numRef>
          </c:val>
          <c:extLst>
            <c:ext xmlns:c16="http://schemas.microsoft.com/office/drawing/2014/chart" uri="{C3380CC4-5D6E-409C-BE32-E72D297353CC}">
              <c16:uniqueId val="{00000000-F8AC-486F-AF60-6D27C78701B6}"/>
            </c:ext>
          </c:extLst>
        </c:ser>
        <c:dLbls>
          <c:showLegendKey val="0"/>
          <c:showVal val="0"/>
          <c:showCatName val="0"/>
          <c:showSerName val="0"/>
          <c:showPercent val="0"/>
          <c:showBubbleSize val="0"/>
        </c:dLbls>
        <c:gapWidth val="150"/>
        <c:axId val="1294538816"/>
        <c:axId val="1294531744"/>
      </c:barChart>
      <c:catAx>
        <c:axId val="1294538816"/>
        <c:scaling>
          <c:orientation val="minMax"/>
        </c:scaling>
        <c:delete val="0"/>
        <c:axPos val="l"/>
        <c:numFmt formatCode="General" sourceLinked="1"/>
        <c:majorTickMark val="out"/>
        <c:minorTickMark val="none"/>
        <c:tickLblPos val="nextTo"/>
        <c:crossAx val="1294531744"/>
        <c:crosses val="autoZero"/>
        <c:auto val="1"/>
        <c:lblAlgn val="ctr"/>
        <c:lblOffset val="100"/>
        <c:noMultiLvlLbl val="0"/>
      </c:catAx>
      <c:valAx>
        <c:axId val="1294531744"/>
        <c:scaling>
          <c:orientation val="minMax"/>
        </c:scaling>
        <c:delete val="0"/>
        <c:axPos val="b"/>
        <c:majorGridlines/>
        <c:numFmt formatCode="0.0%;\(0.0%\)" sourceLinked="0"/>
        <c:majorTickMark val="out"/>
        <c:minorTickMark val="none"/>
        <c:tickLblPos val="nextTo"/>
        <c:crossAx val="1294538816"/>
        <c:crosses val="autoZero"/>
        <c:crossBetween val="between"/>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QoQ Change by Revenue Metric (N/M Omitted)</a:t>
            </a:r>
          </a:p>
        </c:rich>
      </c:tx>
      <c:overlay val="0"/>
    </c:title>
    <c:autoTitleDeleted val="0"/>
    <c:plotArea>
      <c:layout/>
      <c:barChart>
        <c:barDir val="bar"/>
        <c:grouping val="clustered"/>
        <c:varyColors val="0"/>
        <c:ser>
          <c:idx val="0"/>
          <c:order val="0"/>
          <c:tx>
            <c:v>QoQ Change %</c:v>
          </c:tx>
          <c:invertIfNegative val="0"/>
          <c:cat>
            <c:strRef>
              <c:f>QoQ_Summary!$J$2:$J$11</c:f>
              <c:strCache>
                <c:ptCount val="10"/>
                <c:pt idx="0">
                  <c:v>Investment banking fees</c:v>
                </c:pt>
                <c:pt idx="1">
                  <c:v>Principal transactions</c:v>
                </c:pt>
                <c:pt idx="2">
                  <c:v>Lending- and deposit-related fees</c:v>
                </c:pt>
                <c:pt idx="3">
                  <c:v>Asset management fees</c:v>
                </c:pt>
                <c:pt idx="4">
                  <c:v>Commissions and other fees</c:v>
                </c:pt>
                <c:pt idx="5">
                  <c:v>Investment securities gains/(losses)</c:v>
                </c:pt>
                <c:pt idx="6">
                  <c:v>Mortgage fees and related income</c:v>
                </c:pt>
                <c:pt idx="7">
                  <c:v>Card income</c:v>
                </c:pt>
                <c:pt idx="8">
                  <c:v>Other income</c:v>
                </c:pt>
                <c:pt idx="9">
                  <c:v>Total net revenue</c:v>
                </c:pt>
              </c:strCache>
            </c:strRef>
          </c:cat>
          <c:val>
            <c:numRef>
              <c:f>QoQ_Summary!$K$2:$K$11</c:f>
              <c:numCache>
                <c:formatCode>0.0%;\(0.0%\);\-</c:formatCode>
                <c:ptCount val="10"/>
                <c:pt idx="0">
                  <c:v>0.1224632610216935</c:v>
                </c:pt>
                <c:pt idx="1">
                  <c:v>0.12770752472768249</c:v>
                </c:pt>
                <c:pt idx="2">
                  <c:v>0.048872180451127817</c:v>
                </c:pt>
                <c:pt idx="3">
                  <c:v>0.025929283771532186</c:v>
                </c:pt>
                <c:pt idx="4">
                  <c:v>0.053182917002417403</c:v>
                </c:pt>
                <c:pt idx="6">
                  <c:v>0.08737864077669903</c:v>
                </c:pt>
                <c:pt idx="7">
                  <c:v>0.13277310924369748</c:v>
                </c:pt>
                <c:pt idx="8">
                  <c:v>3.5176540993417116</c:v>
                </c:pt>
                <c:pt idx="9">
                  <c:v>0.15071434304518821</c:v>
                </c:pt>
              </c:numCache>
            </c:numRef>
          </c:val>
          <c:extLst>
            <c:ext xmlns:c16="http://schemas.microsoft.com/office/drawing/2014/chart" uri="{C3380CC4-5D6E-409C-BE32-E72D297353CC}">
              <c16:uniqueId val="{00000000-5B30-4AF3-9DEE-C2FAF94E010F}"/>
            </c:ext>
          </c:extLst>
        </c:ser>
        <c:dLbls>
          <c:showLegendKey val="0"/>
          <c:showVal val="0"/>
          <c:showCatName val="0"/>
          <c:showSerName val="0"/>
          <c:showPercent val="0"/>
          <c:showBubbleSize val="0"/>
        </c:dLbls>
        <c:gapWidth val="150"/>
        <c:axId val="1294562112"/>
        <c:axId val="1294562528"/>
      </c:barChart>
      <c:catAx>
        <c:axId val="1294562112"/>
        <c:scaling>
          <c:orientation val="minMax"/>
        </c:scaling>
        <c:delete val="0"/>
        <c:axPos val="l"/>
        <c:numFmt formatCode="General" sourceLinked="1"/>
        <c:majorTickMark val="out"/>
        <c:minorTickMark val="none"/>
        <c:tickLblPos val="nextTo"/>
        <c:crossAx val="1294562528"/>
        <c:crosses val="autoZero"/>
        <c:auto val="1"/>
        <c:lblAlgn val="ctr"/>
        <c:lblOffset val="100"/>
        <c:noMultiLvlLbl val="0"/>
      </c:catAx>
      <c:valAx>
        <c:axId val="1294562528"/>
        <c:scaling>
          <c:orientation val="minMax"/>
        </c:scaling>
        <c:delete val="0"/>
        <c:axPos val="b"/>
        <c:majorGridlines/>
        <c:numFmt formatCode="0.0%;\(0.0%\)" sourceLinked="0"/>
        <c:majorTickMark val="out"/>
        <c:minorTickMark val="none"/>
        <c:tickLblPos val="nextTo"/>
        <c:crossAx val="1294562112"/>
        <c:crosses val="autoZero"/>
        <c:crossBetween val="between"/>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5</xdr:row>
      <xdr:rowOff>71808</xdr:rowOff>
    </xdr:from>
    <xdr:ext cx="1506569" cy="1497015"/>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7551C2C3-7471-405F-A883-83E97B20E9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987673"/>
              <a:ext cx="1506569" cy="1497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50609</xdr:colOff>
      <xdr:row>5</xdr:row>
      <xdr:rowOff>2754</xdr:rowOff>
    </xdr:from>
    <xdr:ext cx="1568019" cy="1566070"/>
    <mc:AlternateContent xmlns:mc="http://schemas.openxmlformats.org/markup-compatibility/2006" xmlns:a14="http://schemas.microsoft.com/office/drawing/2010/main">
      <mc:Choice Requires="a14">
        <xdr:graphicFrame macro="">
          <xdr:nvGraphicFramePr>
            <xdr:cNvPr id="12" name="Metric_Name">
              <a:extLst>
                <a:ext uri="{FF2B5EF4-FFF2-40B4-BE49-F238E27FC236}">
                  <a16:creationId xmlns:a16="http://schemas.microsoft.com/office/drawing/2014/main" id="{C319656C-00EC-4D15-BFBD-13D5F74C879E}"/>
                </a:ext>
              </a:extLst>
            </xdr:cNvPr>
            <xdr:cNvGraphicFramePr/>
          </xdr:nvGraphicFramePr>
          <xdr:xfrm>
            <a:off x="0" y="0"/>
            <a:ext cx="0" cy="0"/>
          </xdr:xfrm>
          <a:graphic>
            <a:graphicData uri="http://schemas.microsoft.com/office/drawing/2010/slicer">
              <sle:slicer xmlns:sle="http://schemas.microsoft.com/office/drawing/2010/slicer" name="Metric_Name"/>
            </a:graphicData>
          </a:graphic>
        </xdr:graphicFrame>
      </mc:Choice>
      <mc:Fallback xmlns="">
        <xdr:sp macro="" textlink="">
          <xdr:nvSpPr>
            <xdr:cNvPr id="0" name=""/>
            <xdr:cNvSpPr>
              <a:spLocks noTextEdit="1"/>
            </xdr:cNvSpPr>
          </xdr:nvSpPr>
          <xdr:spPr>
            <a:xfrm>
              <a:off x="1748013" y="918619"/>
              <a:ext cx="1568019" cy="1566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7</xdr:col>
      <xdr:colOff>363583</xdr:colOff>
      <xdr:row>33</xdr:row>
      <xdr:rowOff>37351</xdr:rowOff>
    </xdr:from>
    <xdr:to>
      <xdr:col>17</xdr:col>
      <xdr:colOff>37333</xdr:colOff>
      <xdr:row>56</xdr:row>
      <xdr:rowOff>37351</xdr:rowOff>
    </xdr:to>
    <xdr:graphicFrame macro="">
      <xdr:nvGraphicFramePr>
        <xdr:cNvPr id="2" name="Chart 1">
          <a:extLst>
            <a:ext uri="{FF2B5EF4-FFF2-40B4-BE49-F238E27FC236}">
              <a16:creationId xmlns:a16="http://schemas.microsoft.com/office/drawing/2014/main" id="{AF8FA98E-440D-4FDB-A1C9-D93F48719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113522</xdr:rowOff>
    </xdr:from>
    <xdr:to>
      <xdr:col>6</xdr:col>
      <xdr:colOff>843821</xdr:colOff>
      <xdr:row>48</xdr:row>
      <xdr:rowOff>135294</xdr:rowOff>
    </xdr:to>
    <xdr:graphicFrame macro="">
      <xdr:nvGraphicFramePr>
        <xdr:cNvPr id="3" name="Chart 2">
          <a:extLst>
            <a:ext uri="{FF2B5EF4-FFF2-40B4-BE49-F238E27FC236}">
              <a16:creationId xmlns:a16="http://schemas.microsoft.com/office/drawing/2014/main" id="{84C115D9-ED52-47EE-B366-015D865FC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529168</xdr:colOff>
      <xdr:row>14</xdr:row>
      <xdr:rowOff>42021</xdr:rowOff>
    </xdr:from>
    <xdr:to>
      <xdr:col>11</xdr:col>
      <xdr:colOff>1274670</xdr:colOff>
      <xdr:row>31</xdr:row>
      <xdr:rowOff>158749</xdr:rowOff>
    </xdr:to>
    <xdr:graphicFrame macro="">
      <xdr:nvGraphicFramePr>
        <xdr:cNvPr id="4" name="Chart 3">
          <a:extLst>
            <a:ext uri="{FF2B5EF4-FFF2-40B4-BE49-F238E27FC236}">
              <a16:creationId xmlns:a16="http://schemas.microsoft.com/office/drawing/2014/main" id="{3BD161B4-B004-4EC6-92E8-A0DFED69E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46271.525951851851" createdVersion="8" refreshedVersion="7" minRefreshableVersion="3" recordCount="37" xr:uid="{629DBC8D-E0AE-4155-A93C-11EFB315DB83}">
  <cacheSource type="worksheet">
    <worksheetSource name="Table1"/>
  </cacheSource>
  <cacheFields count="12">
    <cacheField name="Metric_ID" numFmtId="0">
      <sharedItems count="37">
        <s v="M001"/>
        <s v="M002"/>
        <s v="M003"/>
        <s v="M004"/>
        <s v="M005"/>
        <s v="M006"/>
        <s v="M007"/>
        <s v="M008"/>
        <s v="M009"/>
        <s v="M010"/>
        <s v="M011"/>
        <s v="M012"/>
        <s v="M013"/>
        <s v="M014"/>
        <s v="M015"/>
        <s v="M016"/>
        <s v="M017"/>
        <s v="M018"/>
        <s v="M019"/>
        <s v="M020"/>
        <s v="M021"/>
        <s v="M022"/>
        <s v="M023"/>
        <s v="M024"/>
        <s v="M025"/>
        <s v="M026"/>
        <s v="M027"/>
        <s v="M028"/>
        <s v="M029"/>
        <s v="M030"/>
        <s v="M031"/>
        <s v="M032"/>
        <s v="M033"/>
        <s v="M034"/>
        <s v="M035"/>
        <s v="M036"/>
        <s v="M037"/>
      </sharedItems>
    </cacheField>
    <cacheField name="Category" numFmtId="0">
      <sharedItems count="8">
        <s v="Profitability"/>
        <s v="Credit"/>
        <s v="Segment"/>
        <s v="Balance sheet"/>
        <s v="Employees"/>
        <s v="Risk"/>
        <s v="Revenue"/>
        <s v="Expense"/>
      </sharedItems>
    </cacheField>
    <cacheField name="Metric_Name" numFmtId="0">
      <sharedItems count="35">
        <s v="Total Net Revenue"/>
        <s v="Total Noninterest Expense"/>
        <s v="Pre Provision Profit"/>
        <s v="Provision for Credit Losses"/>
        <s v="Net Income"/>
        <s v="Segment Net Revenue"/>
        <s v="Segment Noninterest Expense"/>
        <s v="Segment Pre-Provision Profit"/>
        <s v="Segment Provision for Credit Losses"/>
        <s v="Segment for net income"/>
        <s v="Total Assets"/>
        <s v="Total Loans"/>
        <s v="Total Deposits"/>
        <s v="Common Stockholders' Equity"/>
        <s v="Long-Term Debt"/>
        <s v="Loans-to-Deposits Ratio"/>
        <s v="Employees"/>
        <s v="Average VaR"/>
        <s v="Earnings-at-Risk +100 bps shift in rates"/>
        <s v="Earnings-at-Risk -100 bps shift in rates"/>
        <s v="Investment banking fees"/>
        <s v="Principal transactions"/>
        <s v="Lending- and deposit-related fees"/>
        <s v="Asset management fees"/>
        <s v="Commissions and other fees"/>
        <s v="Investment securities gains/(losses)"/>
        <s v="Mortgage fees and related income"/>
        <s v="Card income"/>
        <s v="Other income"/>
        <s v="Compensation expense"/>
        <s v="Occupancy expense"/>
        <s v="Technology, communications and equipment expense"/>
        <s v="Professional and outside services"/>
        <s v="Marketing"/>
        <s v="Other expense"/>
      </sharedItems>
    </cacheField>
    <cacheField name="Unit" numFmtId="0">
      <sharedItems/>
    </cacheField>
    <cacheField name="Basis" numFmtId="0">
      <sharedItems/>
    </cacheField>
    <cacheField name="Source_Page" numFmtId="0">
      <sharedItems containsSemiMixedTypes="0" containsString="0" containsNumber="1" containsInteger="1" minValue="2" maxValue="8"/>
    </cacheField>
    <cacheField name="2Q26" numFmtId="0">
      <sharedItems containsSemiMixedTypes="0" containsString="0" containsNumber="1" minValue="-395" maxValue="5015069"/>
    </cacheField>
    <cacheField name="1Q26" numFmtId="0">
      <sharedItems containsSemiMixedTypes="0" containsString="0" containsNumber="1" minValue="-2.2000000000000002" maxValue="4900475"/>
    </cacheField>
    <cacheField name="4Q25" numFmtId="0">
      <sharedItems containsSemiMixedTypes="0" containsString="0" containsNumber="1" minValue="-71" maxValue="4424900"/>
    </cacheField>
    <cacheField name="3Q25" numFmtId="0">
      <sharedItems containsSemiMixedTypes="0" containsString="0" containsNumber="1" minValue="-2.2000000000000002" maxValue="4560205"/>
    </cacheField>
    <cacheField name="2Q25" numFmtId="0">
      <sharedItems containsSemiMixedTypes="0" containsString="0" containsNumber="1" minValue="-54" maxValue="4552482"/>
    </cacheField>
    <cacheField name="QoQ Growth %" numFmtId="0" formula="IF('1Q26'*'2Q26'&lt;0,&quot;&quot;,('2Q26'-'1Q26')/ABS('1Q26'))" databaseField="0"/>
  </cacheFields>
  <extLst>
    <ext xmlns:x14="http://schemas.microsoft.com/office/spreadsheetml/2009/9/main" uri="{725AE2AE-9491-48be-B2B4-4EB974FC3084}">
      <x14:pivotCacheDefinition pivotCacheId="2066547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x v="0"/>
    <s v="$mm"/>
    <s v="Reported"/>
    <n v="2"/>
    <n v="57347"/>
    <n v="49836"/>
    <n v="45798"/>
    <n v="46427"/>
    <n v="44912"/>
  </r>
  <r>
    <x v="1"/>
    <x v="0"/>
    <x v="1"/>
    <s v="$mm"/>
    <s v="Reported"/>
    <n v="2"/>
    <n v="27316"/>
    <n v="26850"/>
    <n v="23983"/>
    <n v="24281"/>
    <n v="23779"/>
  </r>
  <r>
    <x v="2"/>
    <x v="0"/>
    <x v="2"/>
    <s v="$mm"/>
    <s v="Reported"/>
    <n v="2"/>
    <n v="30031"/>
    <n v="22986"/>
    <n v="21815"/>
    <n v="22146"/>
    <n v="21133"/>
  </r>
  <r>
    <x v="3"/>
    <x v="1"/>
    <x v="3"/>
    <s v="$mm"/>
    <s v="Reported"/>
    <n v="2"/>
    <n v="2515"/>
    <n v="2507"/>
    <n v="4655"/>
    <n v="3403"/>
    <n v="2849"/>
  </r>
  <r>
    <x v="4"/>
    <x v="0"/>
    <x v="4"/>
    <s v="$mm"/>
    <s v="Reported"/>
    <n v="2"/>
    <n v="21155"/>
    <n v="16494"/>
    <n v="13025"/>
    <n v="14393"/>
    <n v="14987"/>
  </r>
  <r>
    <x v="5"/>
    <x v="2"/>
    <x v="5"/>
    <s v="$mm"/>
    <s v="Managed"/>
    <n v="8"/>
    <n v="58022"/>
    <n v="50536"/>
    <n v="46767"/>
    <n v="47120"/>
    <n v="45680"/>
  </r>
  <r>
    <x v="6"/>
    <x v="2"/>
    <x v="6"/>
    <s v="$mm"/>
    <s v="Managed"/>
    <n v="8"/>
    <n v="27316"/>
    <n v="26850"/>
    <n v="23983"/>
    <n v="24281"/>
    <n v="23779"/>
  </r>
  <r>
    <x v="7"/>
    <x v="2"/>
    <x v="7"/>
    <s v="$mm"/>
    <s v="Managed"/>
    <n v="8"/>
    <n v="30706"/>
    <n v="23686"/>
    <n v="22784"/>
    <n v="22839"/>
    <n v="21901"/>
  </r>
  <r>
    <x v="8"/>
    <x v="2"/>
    <x v="8"/>
    <s v="$mm"/>
    <s v="Managed"/>
    <n v="8"/>
    <n v="2515"/>
    <n v="2507"/>
    <n v="4655"/>
    <n v="3403"/>
    <n v="2849"/>
  </r>
  <r>
    <x v="9"/>
    <x v="2"/>
    <x v="9"/>
    <s v="$mm"/>
    <s v="Managed"/>
    <n v="8"/>
    <n v="21155"/>
    <n v="16494"/>
    <n v="13025"/>
    <n v="14393"/>
    <n v="14987"/>
  </r>
  <r>
    <x v="10"/>
    <x v="3"/>
    <x v="10"/>
    <s v="$mm"/>
    <s v="Reported"/>
    <n v="3"/>
    <n v="5015069"/>
    <n v="4900475"/>
    <n v="4424900"/>
    <n v="4560205"/>
    <n v="4552482"/>
  </r>
  <r>
    <x v="11"/>
    <x v="3"/>
    <x v="11"/>
    <s v="$mm"/>
    <s v="Reported"/>
    <n v="3"/>
    <n v="1542462"/>
    <n v="1503520"/>
    <n v="1493429"/>
    <n v="1453246"/>
    <n v="1411992"/>
  </r>
  <r>
    <x v="12"/>
    <x v="3"/>
    <x v="12"/>
    <s v="$mm"/>
    <s v="Reported"/>
    <n v="3"/>
    <n v="2713700"/>
    <n v="2675250"/>
    <n v="2593320"/>
    <n v="2548476"/>
    <n v="2562380"/>
  </r>
  <r>
    <x v="13"/>
    <x v="3"/>
    <x v="13"/>
    <s v="$mm"/>
    <s v="Reported"/>
    <n v="3"/>
    <n v="353558"/>
    <n v="343993"/>
    <n v="342393"/>
    <n v="340167"/>
    <n v="336879"/>
  </r>
  <r>
    <x v="14"/>
    <x v="3"/>
    <x v="14"/>
    <s v="$mm"/>
    <s v="Reported"/>
    <n v="3"/>
    <n v="460523"/>
    <n v="448764"/>
    <n v="435206"/>
    <n v="427203"/>
    <n v="419802"/>
  </r>
  <r>
    <x v="15"/>
    <x v="3"/>
    <x v="15"/>
    <s v="%"/>
    <s v="Reported"/>
    <n v="3"/>
    <n v="0.56999999999999995"/>
    <n v="0.56000000000000005"/>
    <n v="0.57999999999999996"/>
    <n v="0.56000000000000005"/>
    <n v="0.55000000000000004"/>
  </r>
  <r>
    <x v="16"/>
    <x v="4"/>
    <x v="16"/>
    <s v="#"/>
    <s v="Reported"/>
    <n v="3"/>
    <n v="320560"/>
    <n v="320079"/>
    <n v="318512"/>
    <n v="318153"/>
    <n v="317160"/>
  </r>
  <r>
    <x v="17"/>
    <x v="5"/>
    <x v="17"/>
    <s v="$mm"/>
    <s v="Reported"/>
    <n v="3"/>
    <n v="49"/>
    <n v="37"/>
    <n v="35"/>
    <n v="33"/>
    <n v="42"/>
  </r>
  <r>
    <x v="18"/>
    <x v="5"/>
    <x v="18"/>
    <s v="$bn"/>
    <s v="Reported"/>
    <n v="3"/>
    <n v="1.8"/>
    <n v="1.9"/>
    <n v="2.1"/>
    <n v="1.8"/>
    <n v="1.8"/>
  </r>
  <r>
    <x v="19"/>
    <x v="5"/>
    <x v="19"/>
    <s v="$bn"/>
    <s v="Reported"/>
    <n v="3"/>
    <n v="-2.4"/>
    <n v="-2.2000000000000002"/>
    <n v="-2.4"/>
    <n v="-2.2000000000000002"/>
    <n v="-2"/>
  </r>
  <r>
    <x v="20"/>
    <x v="6"/>
    <x v="20"/>
    <s v="$mm"/>
    <s v="Reported"/>
    <n v="4"/>
    <n v="3208"/>
    <n v="2858"/>
    <n v="2326"/>
    <n v="2612"/>
    <n v="2499"/>
  </r>
  <r>
    <x v="21"/>
    <x v="6"/>
    <x v="21"/>
    <s v="$mm"/>
    <s v="Reported"/>
    <n v="4"/>
    <n v="9007"/>
    <n v="7987"/>
    <n v="5340"/>
    <n v="7109"/>
    <n v="7149"/>
  </r>
  <r>
    <x v="22"/>
    <x v="6"/>
    <x v="22"/>
    <s v="$mm"/>
    <s v="Reported"/>
    <n v="4"/>
    <n v="2511"/>
    <n v="2394"/>
    <n v="2364"/>
    <n v="3294"/>
    <n v="2248"/>
  </r>
  <r>
    <x v="23"/>
    <x v="6"/>
    <x v="23"/>
    <s v="$mm"/>
    <s v="Reported"/>
    <n v="4"/>
    <n v="5658"/>
    <n v="5515"/>
    <n v="5701"/>
    <n v="5120"/>
    <n v="4806"/>
  </r>
  <r>
    <x v="24"/>
    <x v="6"/>
    <x v="24"/>
    <s v="$mm"/>
    <s v="Reported"/>
    <n v="4"/>
    <n v="2614"/>
    <n v="2482"/>
    <n v="2108"/>
    <n v="2204"/>
    <n v="2194"/>
  </r>
  <r>
    <x v="25"/>
    <x v="6"/>
    <x v="25"/>
    <s v="$mm"/>
    <s v="Reported"/>
    <n v="4"/>
    <n v="-395"/>
    <n v="64"/>
    <n v="-71"/>
    <n v="105"/>
    <n v="-54"/>
  </r>
  <r>
    <x v="26"/>
    <x v="6"/>
    <x v="26"/>
    <s v="$mm"/>
    <s v="Reported"/>
    <n v="4"/>
    <n v="336"/>
    <n v="309"/>
    <n v="357"/>
    <n v="383"/>
    <n v="363"/>
  </r>
  <r>
    <x v="27"/>
    <x v="6"/>
    <x v="27"/>
    <s v="$mm"/>
    <s v="Reported"/>
    <n v="4"/>
    <n v="1348"/>
    <n v="1190"/>
    <n v="1020"/>
    <n v="1140"/>
    <n v="1334"/>
  </r>
  <r>
    <x v="28"/>
    <x v="6"/>
    <x v="28"/>
    <s v="$mm"/>
    <s v="Reported"/>
    <n v="4"/>
    <n v="7549"/>
    <n v="1671"/>
    <n v="1658"/>
    <n v="1439"/>
    <n v="1154"/>
  </r>
  <r>
    <x v="29"/>
    <x v="6"/>
    <x v="0"/>
    <s v="$mm"/>
    <s v="Reported"/>
    <n v="4"/>
    <n v="57347"/>
    <n v="49836"/>
    <n v="45798"/>
    <n v="46427"/>
    <n v="44912"/>
  </r>
  <r>
    <x v="30"/>
    <x v="7"/>
    <x v="29"/>
    <s v="$mm"/>
    <s v="Reported"/>
    <n v="4"/>
    <n v="15159"/>
    <n v="15339"/>
    <n v="13118"/>
    <n v="13566"/>
    <n v="13710"/>
  </r>
  <r>
    <x v="31"/>
    <x v="7"/>
    <x v="30"/>
    <s v="$mm"/>
    <s v="Reported"/>
    <n v="4"/>
    <n v="1482"/>
    <n v="1447"/>
    <n v="1475"/>
    <n v="1420"/>
    <n v="1264"/>
  </r>
  <r>
    <x v="32"/>
    <x v="7"/>
    <x v="31"/>
    <s v="$mm"/>
    <s v="Reported"/>
    <n v="4"/>
    <n v="3107"/>
    <n v="3021"/>
    <n v="2908"/>
    <n v="2839"/>
    <n v="2704"/>
  </r>
  <r>
    <x v="33"/>
    <x v="7"/>
    <x v="32"/>
    <s v="$mm"/>
    <s v="Reported"/>
    <n v="4"/>
    <n v="3855"/>
    <n v="3483"/>
    <n v="3338"/>
    <n v="3173"/>
    <n v="3006"/>
  </r>
  <r>
    <x v="34"/>
    <x v="7"/>
    <x v="33"/>
    <s v="$mm"/>
    <s v="Reported"/>
    <n v="4"/>
    <n v="1670"/>
    <n v="1604"/>
    <n v="1468"/>
    <n v="1480"/>
    <n v="1279"/>
  </r>
  <r>
    <x v="35"/>
    <x v="7"/>
    <x v="34"/>
    <s v="$mm"/>
    <s v="Reported"/>
    <n v="4"/>
    <n v="2043"/>
    <n v="1956"/>
    <n v="1676"/>
    <n v="1803"/>
    <n v="1816"/>
  </r>
  <r>
    <x v="36"/>
    <x v="7"/>
    <x v="1"/>
    <s v="$mm"/>
    <s v="Reported"/>
    <n v="4"/>
    <n v="27316"/>
    <n v="26850"/>
    <n v="23983"/>
    <n v="24281"/>
    <n v="237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2C613E-D02E-44D0-A89F-BE8D86FD68E1}" name="PivotTable1" cacheId="51"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rowHeaderCaption="Metric">
  <location ref="A3:E13" firstHeaderRow="0" firstDataRow="1" firstDataCol="2" rowPageCount="1" colPageCount="1"/>
  <pivotFields count="12">
    <pivotField axis="axisRow" compact="0" outline="0"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axis="axisPage" compact="0" outline="0" showAll="0" defaultSubtotal="0">
      <items count="8">
        <item x="3"/>
        <item x="1"/>
        <item x="4"/>
        <item x="7"/>
        <item x="0"/>
        <item x="6"/>
        <item x="5"/>
        <item x="2"/>
      </items>
    </pivotField>
    <pivotField axis="axisRow" compact="0" outline="0" showAll="0" measureFilter="1" defaultSubtotal="0">
      <items count="35">
        <item x="23"/>
        <item x="17"/>
        <item x="27"/>
        <item x="24"/>
        <item x="13"/>
        <item x="29"/>
        <item x="18"/>
        <item x="19"/>
        <item x="16"/>
        <item x="20"/>
        <item x="25"/>
        <item x="22"/>
        <item x="15"/>
        <item x="14"/>
        <item x="33"/>
        <item x="26"/>
        <item x="4"/>
        <item x="30"/>
        <item x="34"/>
        <item x="28"/>
        <item x="2"/>
        <item x="21"/>
        <item x="32"/>
        <item x="3"/>
        <item x="9"/>
        <item x="5"/>
        <item x="6"/>
        <item x="7"/>
        <item x="8"/>
        <item x="31"/>
        <item x="10"/>
        <item x="12"/>
        <item x="11"/>
        <item x="0"/>
        <item x="1"/>
      </items>
    </pivotField>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dragToRow="0" dragToCol="0" dragToPage="0" showAll="0" defaultSubtotal="0"/>
  </pivotFields>
  <rowFields count="2">
    <field x="0"/>
    <field x="2"/>
  </rowFields>
  <rowItems count="10">
    <i>
      <x v="20"/>
      <x v="9"/>
    </i>
    <i>
      <x v="21"/>
      <x v="21"/>
    </i>
    <i>
      <x v="22"/>
      <x v="11"/>
    </i>
    <i>
      <x v="23"/>
      <x/>
    </i>
    <i>
      <x v="24"/>
      <x v="3"/>
    </i>
    <i>
      <x v="25"/>
      <x v="10"/>
    </i>
    <i>
      <x v="26"/>
      <x v="15"/>
    </i>
    <i>
      <x v="27"/>
      <x v="2"/>
    </i>
    <i>
      <x v="28"/>
      <x v="19"/>
    </i>
    <i>
      <x v="29"/>
      <x v="33"/>
    </i>
  </rowItems>
  <colFields count="1">
    <field x="-2"/>
  </colFields>
  <colItems count="3">
    <i>
      <x/>
    </i>
    <i i="1">
      <x v="1"/>
    </i>
    <i i="2">
      <x v="2"/>
    </i>
  </colItems>
  <pageFields count="1">
    <pageField fld="1" item="5" hier="-1"/>
  </pageFields>
  <dataFields count="3">
    <dataField name="Sum of 1Q26" fld="7" baseField="0" baseItem="0"/>
    <dataField name="Sum of 2Q26" fld="6" baseField="0" baseItem="0"/>
    <dataField name="Sum of QoQ Growth %" fld="11" baseField="2" baseItem="33" numFmtId="164"/>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44807D-98F7-43DC-9372-AD53D182E3BD}" name="PivotTable2" cacheId="51"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location ref="A3:E10" firstHeaderRow="0" firstDataRow="1" firstDataCol="2" rowPageCount="1" colPageCount="1"/>
  <pivotFields count="12">
    <pivotField axis="axisRow" compact="0" outline="0"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extLst>
        <ext xmlns:x14="http://schemas.microsoft.com/office/spreadsheetml/2009/9/main" uri="{2946ED86-A175-432a-8AC1-64E0C546D7DE}">
          <x14:pivotField fillDownLabels="1"/>
        </ext>
      </extLst>
    </pivotField>
    <pivotField axis="axisPage" compact="0" outline="0" showAll="0" defaultSubtotal="0">
      <items count="8">
        <item x="3"/>
        <item x="1"/>
        <item x="4"/>
        <item x="7"/>
        <item x="0"/>
        <item x="6"/>
        <item x="5"/>
        <item x="2"/>
      </items>
      <extLst>
        <ext xmlns:x14="http://schemas.microsoft.com/office/spreadsheetml/2009/9/main" uri="{2946ED86-A175-432a-8AC1-64E0C546D7DE}">
          <x14:pivotField fillDownLabels="1"/>
        </ext>
      </extLst>
    </pivotField>
    <pivotField axis="axisRow" compact="0" outline="0" showAll="0" defaultSubtotal="0">
      <items count="35">
        <item x="23"/>
        <item x="17"/>
        <item x="27"/>
        <item x="24"/>
        <item x="13"/>
        <item x="29"/>
        <item x="18"/>
        <item x="19"/>
        <item x="16"/>
        <item x="20"/>
        <item x="25"/>
        <item x="22"/>
        <item x="15"/>
        <item x="14"/>
        <item x="33"/>
        <item x="26"/>
        <item x="4"/>
        <item x="30"/>
        <item x="34"/>
        <item x="28"/>
        <item x="2"/>
        <item x="21"/>
        <item x="32"/>
        <item x="3"/>
        <item x="9"/>
        <item x="5"/>
        <item x="6"/>
        <item x="7"/>
        <item x="8"/>
        <item x="31"/>
        <item x="10"/>
        <item x="12"/>
        <item x="11"/>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2">
    <field x="0"/>
    <field x="2"/>
  </rowFields>
  <rowItems count="7">
    <i>
      <x v="30"/>
      <x v="5"/>
    </i>
    <i>
      <x v="31"/>
      <x v="17"/>
    </i>
    <i>
      <x v="32"/>
      <x v="29"/>
    </i>
    <i>
      <x v="33"/>
      <x v="22"/>
    </i>
    <i>
      <x v="34"/>
      <x v="14"/>
    </i>
    <i>
      <x v="35"/>
      <x v="18"/>
    </i>
    <i>
      <x v="36"/>
      <x v="34"/>
    </i>
  </rowItems>
  <colFields count="1">
    <field x="-2"/>
  </colFields>
  <colItems count="3">
    <i>
      <x/>
    </i>
    <i i="1">
      <x v="1"/>
    </i>
    <i i="2">
      <x v="2"/>
    </i>
  </colItems>
  <pageFields count="1">
    <pageField fld="1" item="3" hier="-1"/>
  </pageFields>
  <dataFields count="3">
    <dataField name="Sum of 1Q26" fld="7" baseField="0" baseItem="0"/>
    <dataField name="Sum of 2Q26" fld="6" baseField="0" baseItem="0"/>
    <dataField name="Sum of QoQ Growth %" fld="11" baseField="2" baseItem="2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D3351C-9EEC-42AD-A519-5B2CED6F35B6}" name="PivotTable3" cacheId="51"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location ref="A3:E13" firstHeaderRow="0" firstDataRow="1" firstDataCol="2" rowPageCount="1" colPageCount="1"/>
  <pivotFields count="12">
    <pivotField axis="axisRow" compact="0" outline="0"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extLst>
        <ext xmlns:x14="http://schemas.microsoft.com/office/spreadsheetml/2009/9/main" uri="{2946ED86-A175-432a-8AC1-64E0C546D7DE}">
          <x14:pivotField fillDownLabels="1"/>
        </ext>
      </extLst>
    </pivotField>
    <pivotField axis="axisPage" compact="0" outline="0" showAll="0" defaultSubtotal="0">
      <items count="8">
        <item x="3"/>
        <item x="1"/>
        <item x="4"/>
        <item x="7"/>
        <item x="0"/>
        <item x="6"/>
        <item x="5"/>
        <item x="2"/>
      </items>
      <extLst>
        <ext xmlns:x14="http://schemas.microsoft.com/office/spreadsheetml/2009/9/main" uri="{2946ED86-A175-432a-8AC1-64E0C546D7DE}">
          <x14:pivotField fillDownLabels="1"/>
        </ext>
      </extLst>
    </pivotField>
    <pivotField axis="axisRow" compact="0" outline="0" showAll="0" defaultSubtotal="0">
      <items count="35">
        <item x="23"/>
        <item x="17"/>
        <item x="27"/>
        <item x="24"/>
        <item x="13"/>
        <item x="29"/>
        <item x="18"/>
        <item x="19"/>
        <item x="16"/>
        <item x="20"/>
        <item x="25"/>
        <item x="22"/>
        <item x="15"/>
        <item x="14"/>
        <item x="33"/>
        <item x="26"/>
        <item x="4"/>
        <item x="30"/>
        <item x="34"/>
        <item x="28"/>
        <item x="2"/>
        <item x="21"/>
        <item x="32"/>
        <item x="3"/>
        <item x="9"/>
        <item x="5"/>
        <item x="6"/>
        <item x="7"/>
        <item x="8"/>
        <item x="31"/>
        <item x="10"/>
        <item x="12"/>
        <item x="11"/>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2">
    <field x="0"/>
    <field x="2"/>
  </rowFields>
  <rowItems count="10">
    <i>
      <x v="20"/>
      <x v="9"/>
    </i>
    <i>
      <x v="21"/>
      <x v="21"/>
    </i>
    <i>
      <x v="22"/>
      <x v="11"/>
    </i>
    <i>
      <x v="23"/>
      <x/>
    </i>
    <i>
      <x v="24"/>
      <x v="3"/>
    </i>
    <i>
      <x v="25"/>
      <x v="10"/>
    </i>
    <i>
      <x v="26"/>
      <x v="15"/>
    </i>
    <i>
      <x v="27"/>
      <x v="2"/>
    </i>
    <i>
      <x v="28"/>
      <x v="19"/>
    </i>
    <i>
      <x v="29"/>
      <x v="33"/>
    </i>
  </rowItems>
  <colFields count="1">
    <field x="-2"/>
  </colFields>
  <colItems count="3">
    <i>
      <x/>
    </i>
    <i i="1">
      <x v="1"/>
    </i>
    <i i="2">
      <x v="2"/>
    </i>
  </colItems>
  <pageFields count="1">
    <pageField fld="1" item="5" hier="-1"/>
  </pageFields>
  <dataFields count="3">
    <dataField name="Sum of 2Q26" fld="6" baseField="0" baseItem="0"/>
    <dataField name="Sum of 1Q26" fld="7" baseField="0" baseItem="0"/>
    <dataField name="Sum of QoQ Growth %" fld="11"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0D2539-198E-4049-ADDE-A47852FB5853}" name="PivotTable4" cacheId="51"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location ref="A3:E13" firstHeaderRow="0" firstDataRow="1" firstDataCol="2" rowPageCount="1" colPageCount="1"/>
  <pivotFields count="12">
    <pivotField axis="axisRow" compact="0" outline="0"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extLst>
        <ext xmlns:x14="http://schemas.microsoft.com/office/spreadsheetml/2009/9/main" uri="{2946ED86-A175-432a-8AC1-64E0C546D7DE}">
          <x14:pivotField fillDownLabels="1"/>
        </ext>
      </extLst>
    </pivotField>
    <pivotField axis="axisPage" compact="0" outline="0" showAll="0" defaultSubtotal="0">
      <items count="8">
        <item x="3"/>
        <item x="1"/>
        <item x="4"/>
        <item x="7"/>
        <item x="0"/>
        <item x="6"/>
        <item x="5"/>
        <item x="2"/>
      </items>
      <extLst>
        <ext xmlns:x14="http://schemas.microsoft.com/office/spreadsheetml/2009/9/main" uri="{2946ED86-A175-432a-8AC1-64E0C546D7DE}">
          <x14:pivotField fillDownLabels="1"/>
        </ext>
      </extLst>
    </pivotField>
    <pivotField axis="axisRow" compact="0" outline="0" showAll="0" defaultSubtotal="0">
      <items count="35">
        <item x="23"/>
        <item x="17"/>
        <item x="27"/>
        <item x="24"/>
        <item x="13"/>
        <item x="29"/>
        <item x="18"/>
        <item x="19"/>
        <item x="16"/>
        <item x="20"/>
        <item x="25"/>
        <item x="22"/>
        <item x="15"/>
        <item x="14"/>
        <item x="33"/>
        <item x="26"/>
        <item x="4"/>
        <item x="30"/>
        <item x="34"/>
        <item x="28"/>
        <item x="2"/>
        <item x="21"/>
        <item x="32"/>
        <item x="3"/>
        <item x="9"/>
        <item x="5"/>
        <item x="6"/>
        <item x="7"/>
        <item x="8"/>
        <item x="31"/>
        <item x="10"/>
        <item x="12"/>
        <item x="11"/>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2">
    <field x="0"/>
    <field x="2"/>
  </rowFields>
  <rowItems count="10">
    <i>
      <x v="20"/>
      <x v="9"/>
    </i>
    <i>
      <x v="21"/>
      <x v="21"/>
    </i>
    <i>
      <x v="22"/>
      <x v="11"/>
    </i>
    <i>
      <x v="23"/>
      <x/>
    </i>
    <i>
      <x v="24"/>
      <x v="3"/>
    </i>
    <i>
      <x v="25"/>
      <x v="10"/>
    </i>
    <i>
      <x v="26"/>
      <x v="15"/>
    </i>
    <i>
      <x v="27"/>
      <x v="2"/>
    </i>
    <i>
      <x v="28"/>
      <x v="19"/>
    </i>
    <i>
      <x v="29"/>
      <x v="33"/>
    </i>
  </rowItems>
  <colFields count="1">
    <field x="-2"/>
  </colFields>
  <colItems count="3">
    <i>
      <x/>
    </i>
    <i i="1">
      <x v="1"/>
    </i>
    <i i="2">
      <x v="2"/>
    </i>
  </colItems>
  <pageFields count="1">
    <pageField fld="1" item="5" hier="-1"/>
  </pageFields>
  <dataFields count="3">
    <dataField name="Sum of 1Q26" fld="7" baseField="0" baseItem="0"/>
    <dataField name="Sum of 2Q26" fld="6" baseField="0" baseItem="0"/>
    <dataField name="Sum of QoQ Growth %" fld="11" baseField="2" baseItem="23"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8C9361-23DD-4ABA-BD8F-BB701F43F3C1}" name="PivotTable5" cacheId="51"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location ref="A3:E13" firstHeaderRow="0" firstDataRow="1" firstDataCol="2" rowPageCount="1" colPageCount="1"/>
  <pivotFields count="12">
    <pivotField axis="axisRow" compact="0" outline="0"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extLst>
        <ext xmlns:x14="http://schemas.microsoft.com/office/spreadsheetml/2009/9/main" uri="{2946ED86-A175-432a-8AC1-64E0C546D7DE}">
          <x14:pivotField fillDownLabels="1"/>
        </ext>
      </extLst>
    </pivotField>
    <pivotField axis="axisPage" compact="0" outline="0" showAll="0" defaultSubtotal="0">
      <items count="8">
        <item x="3"/>
        <item x="1"/>
        <item x="4"/>
        <item x="7"/>
        <item x="0"/>
        <item x="6"/>
        <item x="5"/>
        <item x="2"/>
      </items>
      <extLst>
        <ext xmlns:x14="http://schemas.microsoft.com/office/spreadsheetml/2009/9/main" uri="{2946ED86-A175-432a-8AC1-64E0C546D7DE}">
          <x14:pivotField fillDownLabels="1"/>
        </ext>
      </extLst>
    </pivotField>
    <pivotField axis="axisRow" compact="0" outline="0" showAll="0" defaultSubtotal="0">
      <items count="35">
        <item x="23"/>
        <item x="17"/>
        <item x="27"/>
        <item x="24"/>
        <item x="13"/>
        <item x="29"/>
        <item x="18"/>
        <item x="19"/>
        <item x="16"/>
        <item x="20"/>
        <item x="25"/>
        <item x="22"/>
        <item x="15"/>
        <item x="14"/>
        <item x="33"/>
        <item x="26"/>
        <item x="4"/>
        <item x="30"/>
        <item x="34"/>
        <item x="28"/>
        <item x="2"/>
        <item x="21"/>
        <item x="32"/>
        <item x="3"/>
        <item x="9"/>
        <item x="5"/>
        <item x="6"/>
        <item x="7"/>
        <item x="8"/>
        <item x="31"/>
        <item x="10"/>
        <item x="12"/>
        <item x="11"/>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2">
    <field x="0"/>
    <field x="2"/>
  </rowFields>
  <rowItems count="10">
    <i>
      <x v="20"/>
      <x v="9"/>
    </i>
    <i>
      <x v="21"/>
      <x v="21"/>
    </i>
    <i>
      <x v="22"/>
      <x v="11"/>
    </i>
    <i>
      <x v="23"/>
      <x/>
    </i>
    <i>
      <x v="24"/>
      <x v="3"/>
    </i>
    <i>
      <x v="25"/>
      <x v="10"/>
    </i>
    <i>
      <x v="26"/>
      <x v="15"/>
    </i>
    <i>
      <x v="27"/>
      <x v="2"/>
    </i>
    <i>
      <x v="28"/>
      <x v="19"/>
    </i>
    <i>
      <x v="29"/>
      <x v="33"/>
    </i>
  </rowItems>
  <colFields count="1">
    <field x="-2"/>
  </colFields>
  <colItems count="3">
    <i>
      <x/>
    </i>
    <i i="1">
      <x v="1"/>
    </i>
    <i i="2">
      <x v="2"/>
    </i>
  </colItems>
  <pageFields count="1">
    <pageField fld="1" item="5" hier="-1"/>
  </pageFields>
  <dataFields count="3">
    <dataField name="Sum of 1Q26" fld="7" baseField="0" baseItem="0"/>
    <dataField name="Sum of 2Q26" fld="6" baseField="0" baseItem="0"/>
    <dataField name="Sum of QoQ Growth %" fld="11" baseField="2" baseItem="8"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BD0B90-F8C2-4DB6-BA0A-B20901F8091C}" name="PivotTable11" cacheId="51"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chartFormat="5">
  <location ref="D3:E8" firstHeaderRow="1" firstDataRow="1" firstDataCol="1" rowPageCount="1" colPageCount="1"/>
  <pivotFields count="12">
    <pivotField compact="0" outline="0" showAll="0"/>
    <pivotField axis="axisPage" compact="0" outline="0" showAll="0">
      <items count="9">
        <item x="3"/>
        <item x="1"/>
        <item x="4"/>
        <item x="7"/>
        <item x="0"/>
        <item x="6"/>
        <item x="5"/>
        <item x="2"/>
        <item t="default"/>
      </items>
    </pivotField>
    <pivotField name="Metric_Name" axis="axisRow" compact="0" outline="0" showAll="0" measureFilter="1" sortType="descending">
      <items count="36">
        <item x="23"/>
        <item x="17"/>
        <item x="27"/>
        <item x="24"/>
        <item x="13"/>
        <item x="29"/>
        <item x="18"/>
        <item x="19"/>
        <item x="16"/>
        <item x="20"/>
        <item x="25"/>
        <item x="22"/>
        <item x="15"/>
        <item x="14"/>
        <item x="33"/>
        <item x="26"/>
        <item x="4"/>
        <item x="30"/>
        <item x="34"/>
        <item x="28"/>
        <item x="2"/>
        <item x="21"/>
        <item x="32"/>
        <item x="3"/>
        <item x="9"/>
        <item x="5"/>
        <item x="6"/>
        <item x="7"/>
        <item x="8"/>
        <item x="31"/>
        <item x="10"/>
        <item x="12"/>
        <item x="11"/>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s>
  <rowFields count="1">
    <field x="2"/>
  </rowFields>
  <rowItems count="5">
    <i>
      <x v="19"/>
    </i>
    <i>
      <x v="33"/>
    </i>
    <i>
      <x v="2"/>
    </i>
    <i>
      <x v="21"/>
    </i>
    <i>
      <x v="9"/>
    </i>
  </rowItems>
  <colItems count="1">
    <i/>
  </colItems>
  <pageFields count="1">
    <pageField fld="1" item="5" hier="-1"/>
  </pageFields>
  <dataFields count="1">
    <dataField name="Sum of QoQ Growth %" fld="11" baseField="2" baseItem="2" numFmtId="164"/>
  </dataField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E192D8-5F5B-43DC-AFBD-1E4322B1BB0C}" name="PivotTable6" cacheId="51"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chartFormat="12">
  <location ref="A3:B8" firstHeaderRow="1" firstDataRow="1" firstDataCol="1" rowPageCount="1" colPageCount="1"/>
  <pivotFields count="12">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8">
        <item x="3"/>
        <item x="1"/>
        <item x="4"/>
        <item x="7"/>
        <item x="0"/>
        <item x="6"/>
        <item x="5"/>
        <item x="2"/>
      </items>
      <extLst>
        <ext xmlns:x14="http://schemas.microsoft.com/office/spreadsheetml/2009/9/main" uri="{2946ED86-A175-432a-8AC1-64E0C546D7DE}">
          <x14:pivotField fillDownLabels="1"/>
        </ext>
      </extLst>
    </pivotField>
    <pivotField name="Metric_Name" axis="axisRow" compact="0" outline="0" showAll="0" measureFilter="1" sortType="ascending" defaultSubtotal="0">
      <items count="35">
        <item x="23"/>
        <item x="17"/>
        <item x="27"/>
        <item x="24"/>
        <item x="13"/>
        <item x="29"/>
        <item x="18"/>
        <item x="19"/>
        <item x="16"/>
        <item x="20"/>
        <item x="25"/>
        <item x="22"/>
        <item x="15"/>
        <item x="14"/>
        <item x="33"/>
        <item x="26"/>
        <item x="4"/>
        <item x="30"/>
        <item x="34"/>
        <item x="28"/>
        <item x="2"/>
        <item x="21"/>
        <item x="32"/>
        <item x="3"/>
        <item x="9"/>
        <item x="5"/>
        <item x="6"/>
        <item x="7"/>
        <item x="8"/>
        <item x="31"/>
        <item x="10"/>
        <item x="12"/>
        <item x="11"/>
        <item x="0"/>
        <item x="1"/>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1">
    <field x="2"/>
  </rowFields>
  <rowItems count="5">
    <i>
      <x/>
    </i>
    <i>
      <x v="11"/>
    </i>
    <i>
      <x v="3"/>
    </i>
    <i>
      <x v="15"/>
    </i>
    <i>
      <x v="9"/>
    </i>
  </rowItems>
  <colItems count="1">
    <i/>
  </colItems>
  <pageFields count="1">
    <pageField fld="1" item="5" hier="-1"/>
  </pageFields>
  <dataFields count="1">
    <dataField name="Sum of QoQ Growth %" fld="11" baseField="0" baseItem="34" numFmtId="164"/>
  </dataFields>
  <pivotTableStyleInfo name="PivotStyleLight16" showRowHeaders="1" showColHeaders="1" showRowStripes="0" showColStripes="0" showLastColumn="1"/>
  <filters count="1">
    <filter fld="2" type="count" evalOrder="-1" id="9"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4A2E13-CDF4-4449-BF1E-75871E0295B6}" name="PivotTable12" cacheId="51"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chartFormat="6">
  <location ref="A11:B21" firstHeaderRow="1" firstDataRow="1" firstDataCol="1"/>
  <pivotFields count="12">
    <pivotField compact="0" outline="0" showAll="0"/>
    <pivotField compact="0" outline="0" showAll="0">
      <items count="9">
        <item h="1" x="3"/>
        <item h="1" x="1"/>
        <item h="1" x="4"/>
        <item h="1" x="7"/>
        <item h="1" x="0"/>
        <item x="6"/>
        <item h="1" x="5"/>
        <item h="1" x="2"/>
        <item t="default"/>
      </items>
    </pivotField>
    <pivotField axis="axisRow" compact="0" outline="0" showAll="0" sortType="descending">
      <items count="36">
        <item x="23"/>
        <item x="17"/>
        <item x="27"/>
        <item x="24"/>
        <item x="13"/>
        <item x="29"/>
        <item x="18"/>
        <item x="19"/>
        <item x="16"/>
        <item x="20"/>
        <item x="25"/>
        <item x="22"/>
        <item x="15"/>
        <item x="14"/>
        <item x="33"/>
        <item x="26"/>
        <item x="4"/>
        <item x="30"/>
        <item x="34"/>
        <item x="28"/>
        <item x="2"/>
        <item x="21"/>
        <item x="32"/>
        <item x="3"/>
        <item x="9"/>
        <item x="5"/>
        <item x="6"/>
        <item x="7"/>
        <item x="8"/>
        <item x="31"/>
        <item x="10"/>
        <item x="12"/>
        <item x="11"/>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s>
  <rowFields count="1">
    <field x="2"/>
  </rowFields>
  <rowItems count="10">
    <i>
      <x v="19"/>
    </i>
    <i>
      <x v="33"/>
    </i>
    <i>
      <x v="2"/>
    </i>
    <i>
      <x v="21"/>
    </i>
    <i>
      <x v="9"/>
    </i>
    <i>
      <x v="15"/>
    </i>
    <i>
      <x v="3"/>
    </i>
    <i>
      <x v="11"/>
    </i>
    <i>
      <x/>
    </i>
    <i>
      <x v="10"/>
    </i>
  </rowItems>
  <colItems count="1">
    <i/>
  </colItems>
  <dataFields count="1">
    <dataField name="Sum of QoQ Growth %" fld="11" baseField="2" baseItem="1" numFmtId="164"/>
  </dataFields>
  <conditionalFormats count="2">
    <conditionalFormat type="all" priority="1">
      <pivotAreas count="1">
        <pivotArea type="data" collapsedLevelsAreSubtotals="1" fieldPosition="0">
          <references count="2">
            <reference field="4294967294" count="1" selected="0">
              <x v="0"/>
            </reference>
            <reference field="2" count="35">
              <x v="0"/>
              <x v="1"/>
              <x v="2"/>
              <x v="3"/>
              <x v="4"/>
              <x v="5"/>
              <x v="6"/>
              <x v="7"/>
              <x v="8"/>
              <x v="9"/>
              <x v="10"/>
              <x v="11"/>
              <x v="12"/>
              <x v="13"/>
              <x v="14"/>
              <x v="15"/>
              <x v="16"/>
              <x v="17"/>
              <x v="18"/>
              <x v="19"/>
              <x v="20"/>
              <x v="21"/>
              <x v="22"/>
              <x v="23"/>
              <x v="24"/>
              <x v="25"/>
              <x v="26"/>
              <x v="27"/>
              <x v="28"/>
              <x v="29"/>
              <x v="30"/>
              <x v="31"/>
              <x v="32"/>
              <x v="33"/>
              <x v="34"/>
            </reference>
          </references>
        </pivotArea>
      </pivotAreas>
    </conditionalFormat>
    <conditionalFormat type="all" priority="2">
      <pivotAreas count="1">
        <pivotArea type="data" collapsedLevelsAreSubtotals="1" fieldPosition="0">
          <references count="2">
            <reference field="4294967294" count="1" selected="0">
              <x v="0"/>
            </reference>
            <reference field="2" count="35">
              <x v="0"/>
              <x v="1"/>
              <x v="2"/>
              <x v="3"/>
              <x v="4"/>
              <x v="5"/>
              <x v="6"/>
              <x v="7"/>
              <x v="8"/>
              <x v="9"/>
              <x v="10"/>
              <x v="11"/>
              <x v="12"/>
              <x v="13"/>
              <x v="14"/>
              <x v="15"/>
              <x v="16"/>
              <x v="17"/>
              <x v="18"/>
              <x v="19"/>
              <x v="20"/>
              <x v="21"/>
              <x v="22"/>
              <x v="23"/>
              <x v="24"/>
              <x v="25"/>
              <x v="26"/>
              <x v="27"/>
              <x v="28"/>
              <x v="29"/>
              <x v="30"/>
              <x v="31"/>
              <x v="32"/>
              <x v="33"/>
              <x v="3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1A161B-69C4-4CD0-BE0B-5EC01506669B}" name="PivotTable7" cacheId="51"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location ref="A3:E13" firstHeaderRow="0" firstDataRow="1" firstDataCol="2" rowPageCount="1" colPageCount="1"/>
  <pivotFields count="12">
    <pivotField axis="axisRow" compact="0" outline="0"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axis="axisPage" compact="0" outline="0" showAll="0" defaultSubtotal="0">
      <items count="8">
        <item x="3"/>
        <item x="1"/>
        <item x="4"/>
        <item x="7"/>
        <item x="0"/>
        <item x="6"/>
        <item x="5"/>
        <item x="2"/>
      </items>
    </pivotField>
    <pivotField axis="axisRow" compact="0" outline="0" showAll="0" defaultSubtotal="0">
      <items count="35">
        <item x="23"/>
        <item x="17"/>
        <item x="27"/>
        <item x="24"/>
        <item x="13"/>
        <item x="29"/>
        <item x="18"/>
        <item x="19"/>
        <item x="16"/>
        <item x="20"/>
        <item x="25"/>
        <item x="22"/>
        <item x="15"/>
        <item x="14"/>
        <item x="33"/>
        <item x="26"/>
        <item x="4"/>
        <item x="30"/>
        <item x="34"/>
        <item x="28"/>
        <item x="2"/>
        <item x="21"/>
        <item x="32"/>
        <item x="3"/>
        <item x="9"/>
        <item x="5"/>
        <item x="6"/>
        <item x="7"/>
        <item x="8"/>
        <item x="31"/>
        <item x="10"/>
        <item x="12"/>
        <item x="11"/>
        <item x="0"/>
        <item x="1"/>
      </items>
    </pivotField>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dataField="1" compact="0" outline="0" dragToRow="0" dragToCol="0" dragToPage="0" showAll="0" defaultSubtotal="0"/>
  </pivotFields>
  <rowFields count="2">
    <field x="0"/>
    <field x="2"/>
  </rowFields>
  <rowItems count="10">
    <i>
      <x v="20"/>
      <x v="9"/>
    </i>
    <i>
      <x v="21"/>
      <x v="21"/>
    </i>
    <i>
      <x v="22"/>
      <x v="11"/>
    </i>
    <i>
      <x v="23"/>
      <x/>
    </i>
    <i>
      <x v="24"/>
      <x v="3"/>
    </i>
    <i>
      <x v="25"/>
      <x v="10"/>
    </i>
    <i>
      <x v="26"/>
      <x v="15"/>
    </i>
    <i>
      <x v="27"/>
      <x v="2"/>
    </i>
    <i>
      <x v="28"/>
      <x v="19"/>
    </i>
    <i>
      <x v="29"/>
      <x v="33"/>
    </i>
  </rowItems>
  <colFields count="1">
    <field x="-2"/>
  </colFields>
  <colItems count="3">
    <i>
      <x/>
    </i>
    <i i="1">
      <x v="1"/>
    </i>
    <i i="2">
      <x v="2"/>
    </i>
  </colItems>
  <pageFields count="1">
    <pageField fld="1" item="5" hier="-1"/>
  </pageFields>
  <dataFields count="3">
    <dataField name="Sum of 1Q26" fld="7" baseField="0" baseItem="0"/>
    <dataField name="Sum of 2Q26" fld="6" baseField="0" baseItem="0"/>
    <dataField name="Sum of QoQ Growth %" fld="11" baseField="0" baseItem="1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CF3196-1D55-46BA-93D3-304AA8F38A93}" name="PivotTable8" cacheId="51"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location ref="A3:C13" firstHeaderRow="1" firstDataRow="1" firstDataCol="2" rowPageCount="1" colPageCount="1"/>
  <pivotFields count="12">
    <pivotField axis="axisRow" compact="0" outline="0"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axis="axisPage" compact="0" outline="0" showAll="0" defaultSubtotal="0">
      <items count="8">
        <item x="3"/>
        <item x="1"/>
        <item x="4"/>
        <item x="7"/>
        <item x="0"/>
        <item x="6"/>
        <item x="5"/>
        <item x="2"/>
      </items>
    </pivotField>
    <pivotField axis="axisRow" compact="0" outline="0" showAll="0" defaultSubtotal="0">
      <items count="35">
        <item x="23"/>
        <item x="17"/>
        <item x="27"/>
        <item x="24"/>
        <item x="13"/>
        <item x="29"/>
        <item x="18"/>
        <item x="19"/>
        <item x="16"/>
        <item x="20"/>
        <item x="25"/>
        <item x="22"/>
        <item x="15"/>
        <item x="14"/>
        <item x="33"/>
        <item x="26"/>
        <item x="4"/>
        <item x="30"/>
        <item x="34"/>
        <item x="28"/>
        <item x="2"/>
        <item x="21"/>
        <item x="32"/>
        <item x="3"/>
        <item x="9"/>
        <item x="5"/>
        <item x="6"/>
        <item x="7"/>
        <item x="8"/>
        <item x="31"/>
        <item x="10"/>
        <item x="12"/>
        <item x="11"/>
        <item x="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dragToRow="0" dragToCol="0" dragToPage="0" showAll="0" defaultSubtotal="0"/>
  </pivotFields>
  <rowFields count="2">
    <field x="0"/>
    <field x="2"/>
  </rowFields>
  <rowItems count="10">
    <i>
      <x v="20"/>
      <x v="9"/>
    </i>
    <i>
      <x v="21"/>
      <x v="21"/>
    </i>
    <i>
      <x v="22"/>
      <x v="11"/>
    </i>
    <i>
      <x v="23"/>
      <x/>
    </i>
    <i>
      <x v="24"/>
      <x v="3"/>
    </i>
    <i>
      <x v="25"/>
      <x v="10"/>
    </i>
    <i>
      <x v="26"/>
      <x v="15"/>
    </i>
    <i>
      <x v="27"/>
      <x v="2"/>
    </i>
    <i>
      <x v="28"/>
      <x v="19"/>
    </i>
    <i>
      <x v="29"/>
      <x v="33"/>
    </i>
  </rowItems>
  <colItems count="1">
    <i/>
  </colItems>
  <pageFields count="1">
    <pageField fld="1" item="5" hier="-1"/>
  </pageFields>
  <dataFields count="1">
    <dataField name="Sum of QoQ Growth %" fld="11" baseField="0"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7E27729-F7DF-4FE5-834E-8868343DB3FB}" sourceName="Category">
  <pivotTables>
    <pivotTable tabId="12" name="PivotTable8"/>
    <pivotTable tabId="7" name="PivotTable3"/>
    <pivotTable tabId="8" name="PivotTable4"/>
    <pivotTable tabId="9" name="PivotTable5"/>
    <pivotTable tabId="5" name="PivotTable1"/>
    <pivotTable tabId="10" name="PivotTable11"/>
    <pivotTable tabId="10" name="PivotTable12"/>
    <pivotTable tabId="10" name="PivotTable6"/>
    <pivotTable tabId="11" name="PivotTable7"/>
  </pivotTables>
  <data>
    <tabular pivotCacheId="2066547093">
      <items count="8">
        <i x="3"/>
        <i x="1"/>
        <i x="4"/>
        <i x="7"/>
        <i x="0"/>
        <i x="6" s="1"/>
        <i x="5"/>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_Name" xr10:uid="{414CB0FA-EEB4-43D3-AC98-483CA7408442}" sourceName="Metric_Name">
  <pivotTables>
    <pivotTable tabId="12" name="PivotTable8"/>
    <pivotTable tabId="7" name="PivotTable3"/>
    <pivotTable tabId="8" name="PivotTable4"/>
    <pivotTable tabId="9" name="PivotTable5"/>
    <pivotTable tabId="10" name="PivotTable11"/>
    <pivotTable tabId="10" name="PivotTable12"/>
    <pivotTable tabId="10" name="PivotTable6"/>
    <pivotTable tabId="11" name="PivotTable7"/>
  </pivotTables>
  <data>
    <tabular pivotCacheId="2066547093">
      <items count="35">
        <i x="23" s="1"/>
        <i x="27" s="1"/>
        <i x="24" s="1"/>
        <i x="20" s="1"/>
        <i x="25" s="1"/>
        <i x="22" s="1"/>
        <i x="26" s="1"/>
        <i x="28" s="1"/>
        <i x="21" s="1"/>
        <i x="0" s="1"/>
        <i x="17" s="1" nd="1"/>
        <i x="13" s="1" nd="1"/>
        <i x="29" s="1" nd="1"/>
        <i x="18" s="1" nd="1"/>
        <i x="19" s="1" nd="1"/>
        <i x="16" s="1" nd="1"/>
        <i x="15" s="1" nd="1"/>
        <i x="14" s="1" nd="1"/>
        <i x="33" s="1" nd="1"/>
        <i x="4" s="1" nd="1"/>
        <i x="30" s="1" nd="1"/>
        <i x="34" s="1" nd="1"/>
        <i x="2" s="1" nd="1"/>
        <i x="32" s="1" nd="1"/>
        <i x="3" s="1" nd="1"/>
        <i x="9" s="1" nd="1"/>
        <i x="5" s="1" nd="1"/>
        <i x="6" s="1" nd="1"/>
        <i x="7" s="1" nd="1"/>
        <i x="8" s="1" nd="1"/>
        <i x="31" s="1" nd="1"/>
        <i x="10" s="1" nd="1"/>
        <i x="12" s="1" nd="1"/>
        <i x="11"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50BA196-29DF-4D73-9E74-6F4370D6583A}" cache="Slicer_Category" caption="Category" rowHeight="241300"/>
  <slicer name="Metric_Name" xr10:uid="{5437564D-2336-405C-B057-CB5E7254A09C}" cache="Slicer_Metric_Name" caption="Metric_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A44A9C-4A7B-41EA-87A9-B1D587A1CAE7}" name="Table1" displayName="Table1" ref="A1:K38" totalsRowShown="0">
  <autoFilter ref="A1:K38" xr:uid="{94A44A9C-4A7B-41EA-87A9-B1D587A1CAE7}"/>
  <tableColumns count="11">
    <tableColumn id="1" xr3:uid="{5B04472E-A580-4172-A6F8-6A58B4451229}" name="Metric_ID"/>
    <tableColumn id="2" xr3:uid="{8BDEEE31-F230-4EAD-9907-D13581B73821}" name="Category"/>
    <tableColumn id="3" xr3:uid="{06B14B88-A5D8-4910-AB3D-F6B318D5E84B}" name="Metric_Name"/>
    <tableColumn id="4" xr3:uid="{003F3D79-2A97-4943-95BB-123D59F610BE}" name="Unit"/>
    <tableColumn id="5" xr3:uid="{995AF757-B760-49F2-B917-1C4A2C0FE1F1}" name="Basis"/>
    <tableColumn id="6" xr3:uid="{8618E857-5305-411B-8AB5-A47287311C0D}" name="Source_Page"/>
    <tableColumn id="7" xr3:uid="{65385517-640F-46E8-B44D-979D944E8D02}" name="2Q26"/>
    <tableColumn id="8" xr3:uid="{075CD8BD-5806-416F-BD67-46CB4E39E781}" name="1Q26"/>
    <tableColumn id="9" xr3:uid="{FA595469-B9CE-4EFE-96E0-7C792DC10FB7}" name="4Q25"/>
    <tableColumn id="10" xr3:uid="{FC388B3F-EFB7-4953-9636-2F656CF74B7F}" name="3Q25"/>
    <tableColumn id="11" xr3:uid="{EB72C3C4-0F3A-468F-82A8-42A4CEF48E8F}" name="2Q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91525AC-89D2-42A0-9C87-2EDAEB687302}" name="Table9" displayName="Table9" ref="F6:G9" totalsRowShown="0">
  <autoFilter ref="F6:G9" xr:uid="{591525AC-89D2-42A0-9C87-2EDAEB687302}"/>
  <tableColumns count="2">
    <tableColumn id="1" xr3:uid="{D794A99A-DC90-4D27-99F8-0D94CED5CF07}" name="Metric" dataDxfId="1"/>
    <tableColumn id="2" xr3:uid="{C8137A90-59D2-4973-A636-8E83D489C711}" name="Valu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060D3-CD29-4439-AA87-AD395A2D09C7}">
  <dimension ref="A1:E13"/>
  <sheetViews>
    <sheetView zoomScale="83" workbookViewId="0">
      <selection activeCell="A14" sqref="A14"/>
    </sheetView>
  </sheetViews>
  <sheetFormatPr defaultRowHeight="14.5" x14ac:dyDescent="0.35"/>
  <cols>
    <col min="1" max="1" width="26.7265625" bestFit="1" customWidth="1"/>
    <col min="2" max="2" width="30.7265625" bestFit="1" customWidth="1"/>
    <col min="3" max="4" width="11.6328125" bestFit="1" customWidth="1"/>
    <col min="5" max="5" width="19.81640625" bestFit="1" customWidth="1"/>
  </cols>
  <sheetData>
    <row r="1" spans="1:5" x14ac:dyDescent="0.35">
      <c r="A1" s="3" t="s">
        <v>1</v>
      </c>
      <c r="B1" t="s">
        <v>66</v>
      </c>
    </row>
    <row r="3" spans="1:5" x14ac:dyDescent="0.35">
      <c r="A3" s="3" t="s">
        <v>0</v>
      </c>
      <c r="B3" s="3" t="s">
        <v>2</v>
      </c>
      <c r="C3" t="s">
        <v>99</v>
      </c>
      <c r="D3" t="s">
        <v>98</v>
      </c>
      <c r="E3" t="s">
        <v>100</v>
      </c>
    </row>
    <row r="4" spans="1:5" x14ac:dyDescent="0.35">
      <c r="A4" t="s">
        <v>40</v>
      </c>
      <c r="B4" t="s">
        <v>67</v>
      </c>
      <c r="C4" s="5">
        <v>2858</v>
      </c>
      <c r="D4" s="5">
        <v>3208</v>
      </c>
      <c r="E4" s="6">
        <v>0.1224632610216935</v>
      </c>
    </row>
    <row r="5" spans="1:5" x14ac:dyDescent="0.35">
      <c r="A5" t="s">
        <v>41</v>
      </c>
      <c r="B5" t="s">
        <v>68</v>
      </c>
      <c r="C5" s="5">
        <v>7987</v>
      </c>
      <c r="D5" s="5">
        <v>9007</v>
      </c>
      <c r="E5" s="6">
        <v>0.12770752472768249</v>
      </c>
    </row>
    <row r="6" spans="1:5" x14ac:dyDescent="0.35">
      <c r="A6" t="s">
        <v>42</v>
      </c>
      <c r="B6" t="s">
        <v>69</v>
      </c>
      <c r="C6" s="5">
        <v>2394</v>
      </c>
      <c r="D6" s="5">
        <v>2511</v>
      </c>
      <c r="E6" s="6">
        <v>4.8872180451127817E-2</v>
      </c>
    </row>
    <row r="7" spans="1:5" x14ac:dyDescent="0.35">
      <c r="A7" t="s">
        <v>43</v>
      </c>
      <c r="B7" t="s">
        <v>70</v>
      </c>
      <c r="C7" s="5">
        <v>5515</v>
      </c>
      <c r="D7" s="5">
        <v>5658</v>
      </c>
      <c r="E7" s="6">
        <v>2.5929283771532186E-2</v>
      </c>
    </row>
    <row r="8" spans="1:5" x14ac:dyDescent="0.35">
      <c r="A8" t="s">
        <v>71</v>
      </c>
      <c r="B8" t="s">
        <v>77</v>
      </c>
      <c r="C8" s="5">
        <v>2482</v>
      </c>
      <c r="D8" s="5">
        <v>2614</v>
      </c>
      <c r="E8" s="6">
        <v>5.3182917002417403E-2</v>
      </c>
    </row>
    <row r="9" spans="1:5" x14ac:dyDescent="0.35">
      <c r="A9" t="s">
        <v>72</v>
      </c>
      <c r="B9" t="s">
        <v>78</v>
      </c>
      <c r="C9" s="5">
        <v>64</v>
      </c>
      <c r="D9" s="5">
        <v>-395</v>
      </c>
      <c r="E9" s="6"/>
    </row>
    <row r="10" spans="1:5" x14ac:dyDescent="0.35">
      <c r="A10" t="s">
        <v>73</v>
      </c>
      <c r="B10" t="s">
        <v>79</v>
      </c>
      <c r="C10" s="5">
        <v>309</v>
      </c>
      <c r="D10" s="5">
        <v>336</v>
      </c>
      <c r="E10" s="6">
        <v>8.7378640776699032E-2</v>
      </c>
    </row>
    <row r="11" spans="1:5" x14ac:dyDescent="0.35">
      <c r="A11" t="s">
        <v>74</v>
      </c>
      <c r="B11" t="s">
        <v>80</v>
      </c>
      <c r="C11" s="5">
        <v>1190</v>
      </c>
      <c r="D11" s="5">
        <v>1348</v>
      </c>
      <c r="E11" s="6">
        <v>0.13277310924369748</v>
      </c>
    </row>
    <row r="12" spans="1:5" x14ac:dyDescent="0.35">
      <c r="A12" t="s">
        <v>75</v>
      </c>
      <c r="B12" t="s">
        <v>81</v>
      </c>
      <c r="C12" s="5">
        <v>1671</v>
      </c>
      <c r="D12" s="5">
        <v>7549</v>
      </c>
      <c r="E12" s="6">
        <v>3.5176540993417116</v>
      </c>
    </row>
    <row r="13" spans="1:5" x14ac:dyDescent="0.35">
      <c r="A13" t="s">
        <v>76</v>
      </c>
      <c r="B13" t="s">
        <v>13</v>
      </c>
      <c r="C13" s="5">
        <v>49836</v>
      </c>
      <c r="D13" s="5">
        <v>57347</v>
      </c>
      <c r="E13" s="6">
        <v>0.15071434304518821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19606-68B9-4874-BC91-63700F35710A}">
  <dimension ref="A1:E10"/>
  <sheetViews>
    <sheetView workbookViewId="0">
      <selection activeCell="A19" sqref="A19"/>
    </sheetView>
  </sheetViews>
  <sheetFormatPr defaultRowHeight="14.5" x14ac:dyDescent="0.35"/>
  <cols>
    <col min="1" max="1" width="50.08984375" bestFit="1" customWidth="1"/>
    <col min="2" max="2" width="46.26953125" bestFit="1" customWidth="1"/>
    <col min="3" max="4" width="11.453125" bestFit="1" customWidth="1"/>
    <col min="5" max="5" width="19.81640625" bestFit="1" customWidth="1"/>
  </cols>
  <sheetData>
    <row r="1" spans="1:5" x14ac:dyDescent="0.35">
      <c r="A1" s="3" t="s">
        <v>1</v>
      </c>
      <c r="B1" t="s">
        <v>84</v>
      </c>
    </row>
    <row r="3" spans="1:5" x14ac:dyDescent="0.35">
      <c r="A3" s="3" t="s">
        <v>0</v>
      </c>
      <c r="B3" s="3" t="s">
        <v>2</v>
      </c>
      <c r="C3" t="s">
        <v>99</v>
      </c>
      <c r="D3" t="s">
        <v>98</v>
      </c>
      <c r="E3" t="s">
        <v>100</v>
      </c>
    </row>
    <row r="4" spans="1:5" x14ac:dyDescent="0.35">
      <c r="A4" t="s">
        <v>83</v>
      </c>
      <c r="B4" t="s">
        <v>85</v>
      </c>
      <c r="C4" s="5">
        <v>15339</v>
      </c>
      <c r="D4" s="5">
        <v>15159</v>
      </c>
      <c r="E4" s="6">
        <v>-1.1734793663211422E-2</v>
      </c>
    </row>
    <row r="5" spans="1:5" x14ac:dyDescent="0.35">
      <c r="A5" t="s">
        <v>86</v>
      </c>
      <c r="B5" t="s">
        <v>92</v>
      </c>
      <c r="C5" s="5">
        <v>1447</v>
      </c>
      <c r="D5" s="5">
        <v>1482</v>
      </c>
      <c r="E5" s="6">
        <v>2.4187975120939877E-2</v>
      </c>
    </row>
    <row r="6" spans="1:5" x14ac:dyDescent="0.35">
      <c r="A6" t="s">
        <v>87</v>
      </c>
      <c r="B6" t="s">
        <v>93</v>
      </c>
      <c r="C6" s="5">
        <v>3021</v>
      </c>
      <c r="D6" s="5">
        <v>3107</v>
      </c>
      <c r="E6" s="6">
        <v>2.8467394902350215E-2</v>
      </c>
    </row>
    <row r="7" spans="1:5" x14ac:dyDescent="0.35">
      <c r="A7" t="s">
        <v>88</v>
      </c>
      <c r="B7" t="s">
        <v>94</v>
      </c>
      <c r="C7" s="5">
        <v>3483</v>
      </c>
      <c r="D7" s="5">
        <v>3855</v>
      </c>
      <c r="E7" s="6">
        <v>0.10680447889750215</v>
      </c>
    </row>
    <row r="8" spans="1:5" x14ac:dyDescent="0.35">
      <c r="A8" t="s">
        <v>89</v>
      </c>
      <c r="B8" t="s">
        <v>95</v>
      </c>
      <c r="C8" s="5">
        <v>1604</v>
      </c>
      <c r="D8" s="5">
        <v>1670</v>
      </c>
      <c r="E8" s="6">
        <v>4.1147132169576058E-2</v>
      </c>
    </row>
    <row r="9" spans="1:5" x14ac:dyDescent="0.35">
      <c r="A9" t="s">
        <v>90</v>
      </c>
      <c r="B9" t="s">
        <v>96</v>
      </c>
      <c r="C9" s="5">
        <v>1956</v>
      </c>
      <c r="D9" s="5">
        <v>2043</v>
      </c>
      <c r="E9" s="6">
        <v>4.4478527607361963E-2</v>
      </c>
    </row>
    <row r="10" spans="1:5" x14ac:dyDescent="0.35">
      <c r="A10" t="s">
        <v>91</v>
      </c>
      <c r="B10" t="s">
        <v>17</v>
      </c>
      <c r="C10" s="5">
        <v>26850</v>
      </c>
      <c r="D10" s="5">
        <v>27316</v>
      </c>
      <c r="E10" s="6">
        <v>1.7355679702048418E-2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98C39-7E5F-459C-89A1-6857B67252BA}">
  <dimension ref="A1:E13"/>
  <sheetViews>
    <sheetView topLeftCell="A3" workbookViewId="0">
      <selection activeCell="D15" sqref="C15:D22"/>
    </sheetView>
  </sheetViews>
  <sheetFormatPr defaultRowHeight="14.5" x14ac:dyDescent="0.35"/>
  <cols>
    <col min="1" max="1" width="29.81640625" bestFit="1" customWidth="1"/>
    <col min="2" max="2" width="30.7265625" bestFit="1" customWidth="1"/>
    <col min="3" max="4" width="11.453125" bestFit="1" customWidth="1"/>
    <col min="5" max="5" width="19.81640625" bestFit="1" customWidth="1"/>
  </cols>
  <sheetData>
    <row r="1" spans="1:5" x14ac:dyDescent="0.35">
      <c r="A1" s="3" t="s">
        <v>1</v>
      </c>
      <c r="B1" t="s">
        <v>66</v>
      </c>
    </row>
    <row r="3" spans="1:5" x14ac:dyDescent="0.35">
      <c r="A3" s="3" t="s">
        <v>0</v>
      </c>
      <c r="B3" s="3" t="s">
        <v>2</v>
      </c>
      <c r="C3" t="s">
        <v>98</v>
      </c>
      <c r="D3" t="s">
        <v>99</v>
      </c>
      <c r="E3" t="s">
        <v>100</v>
      </c>
    </row>
    <row r="4" spans="1:5" x14ac:dyDescent="0.35">
      <c r="A4" t="s">
        <v>40</v>
      </c>
      <c r="B4" t="s">
        <v>67</v>
      </c>
      <c r="C4" s="5">
        <v>3208</v>
      </c>
      <c r="D4" s="5">
        <v>2858</v>
      </c>
      <c r="E4" s="6">
        <v>0.1224632610216935</v>
      </c>
    </row>
    <row r="5" spans="1:5" x14ac:dyDescent="0.35">
      <c r="A5" t="s">
        <v>41</v>
      </c>
      <c r="B5" t="s">
        <v>68</v>
      </c>
      <c r="C5" s="5">
        <v>9007</v>
      </c>
      <c r="D5" s="5">
        <v>7987</v>
      </c>
      <c r="E5" s="6">
        <v>0.12770752472768249</v>
      </c>
    </row>
    <row r="6" spans="1:5" x14ac:dyDescent="0.35">
      <c r="A6" t="s">
        <v>42</v>
      </c>
      <c r="B6" t="s">
        <v>69</v>
      </c>
      <c r="C6" s="5">
        <v>2511</v>
      </c>
      <c r="D6" s="5">
        <v>2394</v>
      </c>
      <c r="E6" s="6">
        <v>4.8872180451127817E-2</v>
      </c>
    </row>
    <row r="7" spans="1:5" x14ac:dyDescent="0.35">
      <c r="A7" t="s">
        <v>43</v>
      </c>
      <c r="B7" t="s">
        <v>70</v>
      </c>
      <c r="C7" s="5">
        <v>5658</v>
      </c>
      <c r="D7" s="5">
        <v>5515</v>
      </c>
      <c r="E7" s="6">
        <v>2.5929283771532186E-2</v>
      </c>
    </row>
    <row r="8" spans="1:5" x14ac:dyDescent="0.35">
      <c r="A8" t="s">
        <v>71</v>
      </c>
      <c r="B8" t="s">
        <v>77</v>
      </c>
      <c r="C8" s="5">
        <v>2614</v>
      </c>
      <c r="D8" s="5">
        <v>2482</v>
      </c>
      <c r="E8" s="6">
        <v>5.3182917002417403E-2</v>
      </c>
    </row>
    <row r="9" spans="1:5" x14ac:dyDescent="0.35">
      <c r="A9" t="s">
        <v>72</v>
      </c>
      <c r="B9" t="s">
        <v>78</v>
      </c>
      <c r="C9" s="5">
        <v>-395</v>
      </c>
      <c r="D9" s="5">
        <v>64</v>
      </c>
      <c r="E9" s="6"/>
    </row>
    <row r="10" spans="1:5" x14ac:dyDescent="0.35">
      <c r="A10" t="s">
        <v>73</v>
      </c>
      <c r="B10" t="s">
        <v>79</v>
      </c>
      <c r="C10" s="5">
        <v>336</v>
      </c>
      <c r="D10" s="5">
        <v>309</v>
      </c>
      <c r="E10" s="6">
        <v>8.7378640776699032E-2</v>
      </c>
    </row>
    <row r="11" spans="1:5" x14ac:dyDescent="0.35">
      <c r="A11" t="s">
        <v>74</v>
      </c>
      <c r="B11" t="s">
        <v>80</v>
      </c>
      <c r="C11" s="5">
        <v>1348</v>
      </c>
      <c r="D11" s="5">
        <v>1190</v>
      </c>
      <c r="E11" s="6">
        <v>0.13277310924369748</v>
      </c>
    </row>
    <row r="12" spans="1:5" x14ac:dyDescent="0.35">
      <c r="A12" t="s">
        <v>75</v>
      </c>
      <c r="B12" t="s">
        <v>81</v>
      </c>
      <c r="C12" s="5">
        <v>7549</v>
      </c>
      <c r="D12" s="5">
        <v>1671</v>
      </c>
      <c r="E12" s="6">
        <v>3.5176540993417116</v>
      </c>
    </row>
    <row r="13" spans="1:5" x14ac:dyDescent="0.35">
      <c r="A13" t="s">
        <v>76</v>
      </c>
      <c r="B13" t="s">
        <v>13</v>
      </c>
      <c r="C13" s="5">
        <v>57347</v>
      </c>
      <c r="D13" s="5">
        <v>49836</v>
      </c>
      <c r="E13" s="6">
        <v>0.15071434304518821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922E0-F24B-4236-9306-BD87401BF01D}">
  <dimension ref="A1:E13"/>
  <sheetViews>
    <sheetView workbookViewId="0">
      <selection activeCell="A4" sqref="A4:XFD4"/>
    </sheetView>
  </sheetViews>
  <sheetFormatPr defaultRowHeight="14.5" x14ac:dyDescent="0.35"/>
  <cols>
    <col min="1" max="1" width="26.7265625" bestFit="1" customWidth="1"/>
    <col min="2" max="2" width="30.7265625" bestFit="1" customWidth="1"/>
    <col min="3" max="4" width="11.453125" bestFit="1" customWidth="1"/>
    <col min="5" max="5" width="19.81640625" bestFit="1" customWidth="1"/>
  </cols>
  <sheetData>
    <row r="1" spans="1:5" x14ac:dyDescent="0.35">
      <c r="A1" s="3" t="s">
        <v>1</v>
      </c>
      <c r="B1" t="s">
        <v>66</v>
      </c>
    </row>
    <row r="3" spans="1:5" x14ac:dyDescent="0.35">
      <c r="A3" s="3" t="s">
        <v>0</v>
      </c>
      <c r="B3" s="3" t="s">
        <v>2</v>
      </c>
      <c r="C3" t="s">
        <v>99</v>
      </c>
      <c r="D3" t="s">
        <v>98</v>
      </c>
      <c r="E3" t="s">
        <v>100</v>
      </c>
    </row>
    <row r="4" spans="1:5" x14ac:dyDescent="0.35">
      <c r="A4" t="s">
        <v>40</v>
      </c>
      <c r="B4" t="s">
        <v>67</v>
      </c>
      <c r="C4" s="5">
        <v>2858</v>
      </c>
      <c r="D4" s="5">
        <v>3208</v>
      </c>
      <c r="E4" s="6">
        <v>0.1224632610216935</v>
      </c>
    </row>
    <row r="5" spans="1:5" x14ac:dyDescent="0.35">
      <c r="A5" t="s">
        <v>41</v>
      </c>
      <c r="B5" t="s">
        <v>68</v>
      </c>
      <c r="C5" s="5">
        <v>7987</v>
      </c>
      <c r="D5" s="5">
        <v>9007</v>
      </c>
      <c r="E5" s="6">
        <v>0.12770752472768249</v>
      </c>
    </row>
    <row r="6" spans="1:5" x14ac:dyDescent="0.35">
      <c r="A6" t="s">
        <v>42</v>
      </c>
      <c r="B6" t="s">
        <v>69</v>
      </c>
      <c r="C6" s="5">
        <v>2394</v>
      </c>
      <c r="D6" s="5">
        <v>2511</v>
      </c>
      <c r="E6" s="6">
        <v>4.8872180451127817E-2</v>
      </c>
    </row>
    <row r="7" spans="1:5" x14ac:dyDescent="0.35">
      <c r="A7" t="s">
        <v>43</v>
      </c>
      <c r="B7" t="s">
        <v>70</v>
      </c>
      <c r="C7" s="5">
        <v>5515</v>
      </c>
      <c r="D7" s="5">
        <v>5658</v>
      </c>
      <c r="E7" s="6">
        <v>2.5929283771532186E-2</v>
      </c>
    </row>
    <row r="8" spans="1:5" x14ac:dyDescent="0.35">
      <c r="A8" t="s">
        <v>71</v>
      </c>
      <c r="B8" t="s">
        <v>77</v>
      </c>
      <c r="C8" s="5">
        <v>2482</v>
      </c>
      <c r="D8" s="5">
        <v>2614</v>
      </c>
      <c r="E8" s="6">
        <v>5.3182917002417403E-2</v>
      </c>
    </row>
    <row r="9" spans="1:5" x14ac:dyDescent="0.35">
      <c r="A9" t="s">
        <v>72</v>
      </c>
      <c r="B9" t="s">
        <v>78</v>
      </c>
      <c r="C9" s="5">
        <v>64</v>
      </c>
      <c r="D9" s="5">
        <v>-395</v>
      </c>
      <c r="E9" s="6"/>
    </row>
    <row r="10" spans="1:5" x14ac:dyDescent="0.35">
      <c r="A10" t="s">
        <v>73</v>
      </c>
      <c r="B10" t="s">
        <v>79</v>
      </c>
      <c r="C10" s="5">
        <v>309</v>
      </c>
      <c r="D10" s="5">
        <v>336</v>
      </c>
      <c r="E10" s="6">
        <v>8.7378640776699032E-2</v>
      </c>
    </row>
    <row r="11" spans="1:5" x14ac:dyDescent="0.35">
      <c r="A11" t="s">
        <v>74</v>
      </c>
      <c r="B11" t="s">
        <v>80</v>
      </c>
      <c r="C11" s="5">
        <v>1190</v>
      </c>
      <c r="D11" s="5">
        <v>1348</v>
      </c>
      <c r="E11" s="6">
        <v>0.13277310924369748</v>
      </c>
    </row>
    <row r="12" spans="1:5" x14ac:dyDescent="0.35">
      <c r="A12" t="s">
        <v>75</v>
      </c>
      <c r="B12" t="s">
        <v>81</v>
      </c>
      <c r="C12" s="5">
        <v>1671</v>
      </c>
      <c r="D12" s="5">
        <v>7549</v>
      </c>
      <c r="E12" s="6">
        <v>3.5176540993417116</v>
      </c>
    </row>
    <row r="13" spans="1:5" x14ac:dyDescent="0.35">
      <c r="A13" t="s">
        <v>76</v>
      </c>
      <c r="B13" t="s">
        <v>13</v>
      </c>
      <c r="C13" s="5">
        <v>49836</v>
      </c>
      <c r="D13" s="5">
        <v>57347</v>
      </c>
      <c r="E13" s="6">
        <v>0.15071434304518821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FC84-BCDA-4F7C-A35B-670BFAB4F73D}">
  <dimension ref="A1:E13"/>
  <sheetViews>
    <sheetView workbookViewId="0">
      <selection activeCell="A4" sqref="A4:XFD4"/>
    </sheetView>
  </sheetViews>
  <sheetFormatPr defaultRowHeight="14.5" x14ac:dyDescent="0.35"/>
  <cols>
    <col min="1" max="1" width="13.6328125" bestFit="1" customWidth="1"/>
    <col min="2" max="2" width="30.7265625" bestFit="1" customWidth="1"/>
    <col min="3" max="4" width="11.453125" bestFit="1" customWidth="1"/>
    <col min="5" max="5" width="19.81640625" bestFit="1" customWidth="1"/>
  </cols>
  <sheetData>
    <row r="1" spans="1:5" x14ac:dyDescent="0.35">
      <c r="A1" s="3" t="s">
        <v>1</v>
      </c>
      <c r="B1" t="s">
        <v>66</v>
      </c>
    </row>
    <row r="3" spans="1:5" x14ac:dyDescent="0.35">
      <c r="A3" s="3" t="s">
        <v>0</v>
      </c>
      <c r="B3" s="3" t="s">
        <v>2</v>
      </c>
      <c r="C3" t="s">
        <v>99</v>
      </c>
      <c r="D3" t="s">
        <v>98</v>
      </c>
      <c r="E3" t="s">
        <v>100</v>
      </c>
    </row>
    <row r="4" spans="1:5" x14ac:dyDescent="0.35">
      <c r="A4" t="s">
        <v>40</v>
      </c>
      <c r="B4" t="s">
        <v>67</v>
      </c>
      <c r="C4" s="5">
        <v>2858</v>
      </c>
      <c r="D4" s="5">
        <v>3208</v>
      </c>
      <c r="E4" s="6">
        <v>0.1224632610216935</v>
      </c>
    </row>
    <row r="5" spans="1:5" x14ac:dyDescent="0.35">
      <c r="A5" t="s">
        <v>41</v>
      </c>
      <c r="B5" t="s">
        <v>68</v>
      </c>
      <c r="C5" s="5">
        <v>7987</v>
      </c>
      <c r="D5" s="5">
        <v>9007</v>
      </c>
      <c r="E5" s="6">
        <v>0.12770752472768249</v>
      </c>
    </row>
    <row r="6" spans="1:5" x14ac:dyDescent="0.35">
      <c r="A6" t="s">
        <v>42</v>
      </c>
      <c r="B6" t="s">
        <v>69</v>
      </c>
      <c r="C6" s="5">
        <v>2394</v>
      </c>
      <c r="D6" s="5">
        <v>2511</v>
      </c>
      <c r="E6" s="6">
        <v>4.8872180451127817E-2</v>
      </c>
    </row>
    <row r="7" spans="1:5" x14ac:dyDescent="0.35">
      <c r="A7" t="s">
        <v>43</v>
      </c>
      <c r="B7" t="s">
        <v>70</v>
      </c>
      <c r="C7" s="5">
        <v>5515</v>
      </c>
      <c r="D7" s="5">
        <v>5658</v>
      </c>
      <c r="E7" s="6">
        <v>2.5929283771532186E-2</v>
      </c>
    </row>
    <row r="8" spans="1:5" x14ac:dyDescent="0.35">
      <c r="A8" t="s">
        <v>71</v>
      </c>
      <c r="B8" t="s">
        <v>77</v>
      </c>
      <c r="C8" s="5">
        <v>2482</v>
      </c>
      <c r="D8" s="5">
        <v>2614</v>
      </c>
      <c r="E8" s="6">
        <v>5.3182917002417403E-2</v>
      </c>
    </row>
    <row r="9" spans="1:5" x14ac:dyDescent="0.35">
      <c r="A9" t="s">
        <v>72</v>
      </c>
      <c r="B9" t="s">
        <v>78</v>
      </c>
      <c r="C9" s="5">
        <v>64</v>
      </c>
      <c r="D9" s="5">
        <v>-395</v>
      </c>
      <c r="E9" s="6"/>
    </row>
    <row r="10" spans="1:5" x14ac:dyDescent="0.35">
      <c r="A10" t="s">
        <v>73</v>
      </c>
      <c r="B10" t="s">
        <v>79</v>
      </c>
      <c r="C10" s="5">
        <v>309</v>
      </c>
      <c r="D10" s="5">
        <v>336</v>
      </c>
      <c r="E10" s="6">
        <v>8.7378640776699032E-2</v>
      </c>
    </row>
    <row r="11" spans="1:5" x14ac:dyDescent="0.35">
      <c r="A11" t="s">
        <v>74</v>
      </c>
      <c r="B11" t="s">
        <v>80</v>
      </c>
      <c r="C11" s="5">
        <v>1190</v>
      </c>
      <c r="D11" s="5">
        <v>1348</v>
      </c>
      <c r="E11" s="6">
        <v>0.13277310924369748</v>
      </c>
    </row>
    <row r="12" spans="1:5" x14ac:dyDescent="0.35">
      <c r="A12" t="s">
        <v>75</v>
      </c>
      <c r="B12" t="s">
        <v>81</v>
      </c>
      <c r="C12" s="5">
        <v>1671</v>
      </c>
      <c r="D12" s="5">
        <v>7549</v>
      </c>
      <c r="E12" s="6">
        <v>3.5176540993417116</v>
      </c>
    </row>
    <row r="13" spans="1:5" x14ac:dyDescent="0.35">
      <c r="A13" t="s">
        <v>76</v>
      </c>
      <c r="B13" t="s">
        <v>13</v>
      </c>
      <c r="C13" s="5">
        <v>49836</v>
      </c>
      <c r="D13" s="5">
        <v>57347</v>
      </c>
      <c r="E13" s="6">
        <v>0.15071434304518821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F66F3-ACAC-401B-BED9-919D888F57C0}">
  <dimension ref="A1:E21"/>
  <sheetViews>
    <sheetView zoomScale="57" zoomScaleNormal="100" workbookViewId="0">
      <selection activeCell="D19" sqref="D19"/>
    </sheetView>
  </sheetViews>
  <sheetFormatPr defaultRowHeight="14.5" x14ac:dyDescent="0.35"/>
  <cols>
    <col min="1" max="1" width="33.453125" bestFit="1" customWidth="1"/>
    <col min="2" max="2" width="21" bestFit="1" customWidth="1"/>
    <col min="3" max="3" width="19.81640625" bestFit="1" customWidth="1"/>
    <col min="4" max="4" width="22.453125" bestFit="1" customWidth="1"/>
    <col min="5" max="5" width="21" bestFit="1" customWidth="1"/>
  </cols>
  <sheetData>
    <row r="1" spans="1:5" x14ac:dyDescent="0.35">
      <c r="A1" s="3" t="s">
        <v>1</v>
      </c>
      <c r="B1" t="s">
        <v>66</v>
      </c>
      <c r="D1" s="3" t="s">
        <v>1</v>
      </c>
      <c r="E1" t="s">
        <v>66</v>
      </c>
    </row>
    <row r="3" spans="1:5" x14ac:dyDescent="0.35">
      <c r="A3" s="3" t="s">
        <v>2</v>
      </c>
      <c r="B3" t="s">
        <v>100</v>
      </c>
      <c r="D3" s="3" t="s">
        <v>2</v>
      </c>
      <c r="E3" t="s">
        <v>100</v>
      </c>
    </row>
    <row r="4" spans="1:5" x14ac:dyDescent="0.35">
      <c r="A4" t="s">
        <v>70</v>
      </c>
      <c r="B4" s="6">
        <v>2.5929283771532186E-2</v>
      </c>
      <c r="D4" t="s">
        <v>81</v>
      </c>
      <c r="E4" s="6">
        <v>3.5176540993417116</v>
      </c>
    </row>
    <row r="5" spans="1:5" x14ac:dyDescent="0.35">
      <c r="A5" t="s">
        <v>69</v>
      </c>
      <c r="B5" s="6">
        <v>4.8872180451127817E-2</v>
      </c>
      <c r="D5" t="s">
        <v>13</v>
      </c>
      <c r="E5" s="6">
        <v>0.15071434304518821</v>
      </c>
    </row>
    <row r="6" spans="1:5" x14ac:dyDescent="0.35">
      <c r="A6" t="s">
        <v>77</v>
      </c>
      <c r="B6" s="6">
        <v>5.3182917002417403E-2</v>
      </c>
      <c r="D6" t="s">
        <v>80</v>
      </c>
      <c r="E6" s="6">
        <v>0.13277310924369748</v>
      </c>
    </row>
    <row r="7" spans="1:5" x14ac:dyDescent="0.35">
      <c r="A7" t="s">
        <v>79</v>
      </c>
      <c r="B7" s="6">
        <v>8.7378640776699032E-2</v>
      </c>
      <c r="D7" t="s">
        <v>68</v>
      </c>
      <c r="E7" s="6">
        <v>0.12770752472768249</v>
      </c>
    </row>
    <row r="8" spans="1:5" x14ac:dyDescent="0.35">
      <c r="A8" t="s">
        <v>67</v>
      </c>
      <c r="B8" s="6">
        <v>0.1224632610216935</v>
      </c>
      <c r="D8" t="s">
        <v>67</v>
      </c>
      <c r="E8" s="6">
        <v>0.1224632610216935</v>
      </c>
    </row>
    <row r="11" spans="1:5" x14ac:dyDescent="0.35">
      <c r="A11" s="3" t="s">
        <v>2</v>
      </c>
      <c r="B11" t="s">
        <v>100</v>
      </c>
    </row>
    <row r="12" spans="1:5" x14ac:dyDescent="0.35">
      <c r="A12" t="s">
        <v>81</v>
      </c>
      <c r="B12" s="6">
        <v>3.5176540993417116</v>
      </c>
    </row>
    <row r="13" spans="1:5" x14ac:dyDescent="0.35">
      <c r="A13" t="s">
        <v>13</v>
      </c>
      <c r="B13" s="6">
        <v>0.15071434304518821</v>
      </c>
    </row>
    <row r="14" spans="1:5" x14ac:dyDescent="0.35">
      <c r="A14" t="s">
        <v>80</v>
      </c>
      <c r="B14" s="6">
        <v>0.13277310924369748</v>
      </c>
    </row>
    <row r="15" spans="1:5" x14ac:dyDescent="0.35">
      <c r="A15" t="s">
        <v>68</v>
      </c>
      <c r="B15" s="6">
        <v>0.12770752472768249</v>
      </c>
    </row>
    <row r="16" spans="1:5" x14ac:dyDescent="0.35">
      <c r="A16" t="s">
        <v>67</v>
      </c>
      <c r="B16" s="6">
        <v>0.1224632610216935</v>
      </c>
    </row>
    <row r="17" spans="1:2" x14ac:dyDescent="0.35">
      <c r="A17" t="s">
        <v>79</v>
      </c>
      <c r="B17" s="6">
        <v>8.7378640776699032E-2</v>
      </c>
    </row>
    <row r="18" spans="1:2" x14ac:dyDescent="0.35">
      <c r="A18" t="s">
        <v>77</v>
      </c>
      <c r="B18" s="6">
        <v>5.3182917002417403E-2</v>
      </c>
    </row>
    <row r="19" spans="1:2" x14ac:dyDescent="0.35">
      <c r="A19" t="s">
        <v>69</v>
      </c>
      <c r="B19" s="6">
        <v>4.8872180451127817E-2</v>
      </c>
    </row>
    <row r="20" spans="1:2" x14ac:dyDescent="0.35">
      <c r="A20" t="s">
        <v>70</v>
      </c>
      <c r="B20" s="6">
        <v>2.5929283771532186E-2</v>
      </c>
    </row>
    <row r="21" spans="1:2" x14ac:dyDescent="0.35">
      <c r="A21" t="s">
        <v>78</v>
      </c>
      <c r="B21" s="6"/>
    </row>
  </sheetData>
  <conditionalFormatting pivot="1" sqref="B12:B21">
    <cfRule type="top10" dxfId="15" priority="2" rank="10"/>
  </conditionalFormatting>
  <conditionalFormatting pivot="1" sqref="B12:B21">
    <cfRule type="top10" dxfId="14" priority="1" bottom="1" rank="10"/>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28566-B7EE-4AD8-852C-CC1532540C33}">
  <dimension ref="A1:E13"/>
  <sheetViews>
    <sheetView workbookViewId="0">
      <selection activeCell="A4" sqref="A4:E6"/>
    </sheetView>
  </sheetViews>
  <sheetFormatPr defaultRowHeight="14.5" x14ac:dyDescent="0.35"/>
  <cols>
    <col min="1" max="1" width="37.08984375" bestFit="1" customWidth="1"/>
    <col min="2" max="2" width="30.7265625" bestFit="1" customWidth="1"/>
    <col min="3" max="4" width="11.453125" bestFit="1" customWidth="1"/>
    <col min="5" max="5" width="19.81640625" bestFit="1" customWidth="1"/>
  </cols>
  <sheetData>
    <row r="1" spans="1:5" x14ac:dyDescent="0.35">
      <c r="A1" s="3" t="s">
        <v>1</v>
      </c>
      <c r="B1" t="s">
        <v>66</v>
      </c>
    </row>
    <row r="3" spans="1:5" x14ac:dyDescent="0.35">
      <c r="A3" s="3" t="s">
        <v>0</v>
      </c>
      <c r="B3" s="3" t="s">
        <v>2</v>
      </c>
      <c r="C3" t="s">
        <v>99</v>
      </c>
      <c r="D3" t="s">
        <v>98</v>
      </c>
      <c r="E3" t="s">
        <v>100</v>
      </c>
    </row>
    <row r="4" spans="1:5" x14ac:dyDescent="0.35">
      <c r="A4" t="s">
        <v>40</v>
      </c>
      <c r="B4" t="s">
        <v>67</v>
      </c>
      <c r="C4" s="5">
        <v>2858</v>
      </c>
      <c r="D4" s="5">
        <v>3208</v>
      </c>
      <c r="E4" s="6">
        <v>0.1224632610216935</v>
      </c>
    </row>
    <row r="5" spans="1:5" x14ac:dyDescent="0.35">
      <c r="A5" t="s">
        <v>41</v>
      </c>
      <c r="B5" t="s">
        <v>68</v>
      </c>
      <c r="C5" s="5">
        <v>7987</v>
      </c>
      <c r="D5" s="5">
        <v>9007</v>
      </c>
      <c r="E5" s="6">
        <v>0.12770752472768249</v>
      </c>
    </row>
    <row r="6" spans="1:5" x14ac:dyDescent="0.35">
      <c r="A6" t="s">
        <v>42</v>
      </c>
      <c r="B6" t="s">
        <v>69</v>
      </c>
      <c r="C6" s="5">
        <v>2394</v>
      </c>
      <c r="D6" s="5">
        <v>2511</v>
      </c>
      <c r="E6" s="6">
        <v>4.8872180451127817E-2</v>
      </c>
    </row>
    <row r="7" spans="1:5" x14ac:dyDescent="0.35">
      <c r="A7" t="s">
        <v>43</v>
      </c>
      <c r="B7" t="s">
        <v>70</v>
      </c>
      <c r="C7" s="5">
        <v>5515</v>
      </c>
      <c r="D7" s="5">
        <v>5658</v>
      </c>
      <c r="E7" s="6">
        <v>2.5929283771532186E-2</v>
      </c>
    </row>
    <row r="8" spans="1:5" x14ac:dyDescent="0.35">
      <c r="A8" t="s">
        <v>71</v>
      </c>
      <c r="B8" t="s">
        <v>77</v>
      </c>
      <c r="C8" s="5">
        <v>2482</v>
      </c>
      <c r="D8" s="5">
        <v>2614</v>
      </c>
      <c r="E8" s="6">
        <v>5.3182917002417403E-2</v>
      </c>
    </row>
    <row r="9" spans="1:5" x14ac:dyDescent="0.35">
      <c r="A9" t="s">
        <v>72</v>
      </c>
      <c r="B9" t="s">
        <v>78</v>
      </c>
      <c r="C9" s="5">
        <v>64</v>
      </c>
      <c r="D9" s="5">
        <v>-395</v>
      </c>
      <c r="E9" s="6"/>
    </row>
    <row r="10" spans="1:5" x14ac:dyDescent="0.35">
      <c r="A10" t="s">
        <v>73</v>
      </c>
      <c r="B10" t="s">
        <v>79</v>
      </c>
      <c r="C10" s="5">
        <v>309</v>
      </c>
      <c r="D10" s="5">
        <v>336</v>
      </c>
      <c r="E10" s="6">
        <v>8.7378640776699032E-2</v>
      </c>
    </row>
    <row r="11" spans="1:5" x14ac:dyDescent="0.35">
      <c r="A11" t="s">
        <v>74</v>
      </c>
      <c r="B11" t="s">
        <v>80</v>
      </c>
      <c r="C11" s="5">
        <v>1190</v>
      </c>
      <c r="D11" s="5">
        <v>1348</v>
      </c>
      <c r="E11" s="6">
        <v>0.13277310924369748</v>
      </c>
    </row>
    <row r="12" spans="1:5" x14ac:dyDescent="0.35">
      <c r="A12" t="s">
        <v>75</v>
      </c>
      <c r="B12" t="s">
        <v>81</v>
      </c>
      <c r="C12" s="5">
        <v>1671</v>
      </c>
      <c r="D12" s="5">
        <v>7549</v>
      </c>
      <c r="E12" s="6">
        <v>3.5176540993417116</v>
      </c>
    </row>
    <row r="13" spans="1:5" x14ac:dyDescent="0.35">
      <c r="A13" t="s">
        <v>76</v>
      </c>
      <c r="B13" t="s">
        <v>13</v>
      </c>
      <c r="C13" s="5">
        <v>49836</v>
      </c>
      <c r="D13" s="5">
        <v>57347</v>
      </c>
      <c r="E13" s="6">
        <v>0.15071434304518821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40564-DC05-40F0-A6FD-C539646F2496}">
  <dimension ref="A1:C13"/>
  <sheetViews>
    <sheetView zoomScale="66" workbookViewId="0">
      <selection activeCell="S25" sqref="S25"/>
    </sheetView>
  </sheetViews>
  <sheetFormatPr defaultRowHeight="14.5" x14ac:dyDescent="0.35"/>
  <cols>
    <col min="1" max="1" width="34.54296875" bestFit="1" customWidth="1"/>
    <col min="2" max="2" width="32.36328125" bestFit="1" customWidth="1"/>
    <col min="3" max="3" width="20.1796875" bestFit="1" customWidth="1"/>
    <col min="4" max="5" width="19.81640625" bestFit="1" customWidth="1"/>
  </cols>
  <sheetData>
    <row r="1" spans="1:3" x14ac:dyDescent="0.35">
      <c r="A1" s="3" t="s">
        <v>1</v>
      </c>
      <c r="B1" t="s">
        <v>66</v>
      </c>
    </row>
    <row r="3" spans="1:3" x14ac:dyDescent="0.35">
      <c r="A3" s="3" t="s">
        <v>0</v>
      </c>
      <c r="B3" s="3" t="s">
        <v>2</v>
      </c>
      <c r="C3" t="s">
        <v>100</v>
      </c>
    </row>
    <row r="4" spans="1:3" x14ac:dyDescent="0.35">
      <c r="A4" t="s">
        <v>40</v>
      </c>
      <c r="B4" t="s">
        <v>67</v>
      </c>
      <c r="C4" s="6">
        <v>0.1224632610216935</v>
      </c>
    </row>
    <row r="5" spans="1:3" x14ac:dyDescent="0.35">
      <c r="A5" t="s">
        <v>41</v>
      </c>
      <c r="B5" t="s">
        <v>68</v>
      </c>
      <c r="C5" s="6">
        <v>0.12770752472768249</v>
      </c>
    </row>
    <row r="6" spans="1:3" x14ac:dyDescent="0.35">
      <c r="A6" t="s">
        <v>42</v>
      </c>
      <c r="B6" t="s">
        <v>69</v>
      </c>
      <c r="C6" s="6">
        <v>4.8872180451127817E-2</v>
      </c>
    </row>
    <row r="7" spans="1:3" x14ac:dyDescent="0.35">
      <c r="A7" t="s">
        <v>43</v>
      </c>
      <c r="B7" t="s">
        <v>70</v>
      </c>
      <c r="C7" s="6">
        <v>2.5929283771532186E-2</v>
      </c>
    </row>
    <row r="8" spans="1:3" x14ac:dyDescent="0.35">
      <c r="A8" t="s">
        <v>71</v>
      </c>
      <c r="B8" t="s">
        <v>77</v>
      </c>
      <c r="C8" s="6">
        <v>5.3182917002417403E-2</v>
      </c>
    </row>
    <row r="9" spans="1:3" x14ac:dyDescent="0.35">
      <c r="A9" t="s">
        <v>72</v>
      </c>
      <c r="B9" t="s">
        <v>78</v>
      </c>
      <c r="C9" s="6"/>
    </row>
    <row r="10" spans="1:3" x14ac:dyDescent="0.35">
      <c r="A10" t="s">
        <v>73</v>
      </c>
      <c r="B10" t="s">
        <v>79</v>
      </c>
      <c r="C10" s="6">
        <v>8.7378640776699032E-2</v>
      </c>
    </row>
    <row r="11" spans="1:3" x14ac:dyDescent="0.35">
      <c r="A11" t="s">
        <v>74</v>
      </c>
      <c r="B11" t="s">
        <v>80</v>
      </c>
      <c r="C11" s="6">
        <v>0.13277310924369748</v>
      </c>
    </row>
    <row r="12" spans="1:3" x14ac:dyDescent="0.35">
      <c r="A12" t="s">
        <v>75</v>
      </c>
      <c r="B12" t="s">
        <v>81</v>
      </c>
      <c r="C12" s="6">
        <v>3.5176540993417116</v>
      </c>
    </row>
    <row r="13" spans="1:3" x14ac:dyDescent="0.35">
      <c r="A13" t="s">
        <v>76</v>
      </c>
      <c r="B13" t="s">
        <v>13</v>
      </c>
      <c r="C13" s="6">
        <v>0.15071434304518821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BB287-C254-4299-AAC6-59932CC7561F}">
  <dimension ref="A1:Q38"/>
  <sheetViews>
    <sheetView zoomScale="89" workbookViewId="0">
      <selection activeCell="G7" sqref="G7"/>
    </sheetView>
  </sheetViews>
  <sheetFormatPr defaultRowHeight="14.5" x14ac:dyDescent="0.35"/>
  <cols>
    <col min="1" max="1" width="9.36328125" bestFit="1" customWidth="1"/>
    <col min="2" max="2" width="54.453125" bestFit="1" customWidth="1"/>
    <col min="3" max="4" width="10" bestFit="1" customWidth="1"/>
    <col min="5" max="5" width="16" style="6" bestFit="1" customWidth="1"/>
    <col min="9" max="9" width="54.453125" bestFit="1" customWidth="1"/>
    <col min="10" max="10" width="16" style="6" bestFit="1" customWidth="1"/>
  </cols>
  <sheetData>
    <row r="1" spans="1:17" x14ac:dyDescent="0.35">
      <c r="A1" s="19" t="s">
        <v>102</v>
      </c>
      <c r="B1" s="20" t="s">
        <v>103</v>
      </c>
      <c r="C1" s="20" t="s">
        <v>7</v>
      </c>
      <c r="D1" s="20" t="s">
        <v>6</v>
      </c>
      <c r="E1" s="21" t="s">
        <v>106</v>
      </c>
      <c r="F1" t="s">
        <v>107</v>
      </c>
      <c r="H1" s="30" t="s">
        <v>108</v>
      </c>
      <c r="I1" s="30" t="s">
        <v>109</v>
      </c>
      <c r="J1" s="32" t="s">
        <v>113</v>
      </c>
      <c r="K1" s="29" t="s">
        <v>106</v>
      </c>
      <c r="M1" s="29" t="s">
        <v>113</v>
      </c>
      <c r="N1" s="29" t="s">
        <v>106</v>
      </c>
      <c r="P1" s="29" t="s">
        <v>113</v>
      </c>
      <c r="Q1" s="29" t="s">
        <v>106</v>
      </c>
    </row>
    <row r="2" spans="1:17" x14ac:dyDescent="0.35">
      <c r="A2" s="10" t="s">
        <v>11</v>
      </c>
      <c r="B2" t="str">
        <f>INDEX(Raw_Data!$C$2:$C$38,MATCH($A2,Raw_Data!$A$2:$A$38,0))</f>
        <v>Total Net Revenue</v>
      </c>
      <c r="C2" s="10">
        <f>INDEX(Raw_Data!$H$2:$H$38,MATCH($A2,Raw_Data!$A$2:$A$38,0))</f>
        <v>49836</v>
      </c>
      <c r="D2" s="10">
        <f>INDEX(Raw_Data!$G$2:$G$38,MATCH($A2,Raw_Data!$A$2:$A$38,0))</f>
        <v>57347</v>
      </c>
      <c r="E2" s="25">
        <f t="shared" ref="E2:E38" si="0">IF(OR(C2=0,SIGN(C2)&lt;&gt;SIGN(D2)),"NM",(D2-C2)/ABS(C2))</f>
        <v>0.15071434304518821</v>
      </c>
      <c r="F2" s="17" t="str">
        <f>IF(AND(B2=INDEX(Raw_Data!$C$2:$C$38,MATCH($A2,Raw_Data!$A$2:$A$38,0)),C2=INDEX(Raw_Data!$H$2:$H$38,MATCH($A2,Raw_Data!$A$2:$A$38,0)),D2=INDEX(Raw_Data!$G$2:$G$38,MATCH($A2,Raw_Data!$A$2:$A$38,0))),"PASS","FAIL")</f>
        <v>PASS</v>
      </c>
      <c r="H2" s="31" t="s">
        <v>110</v>
      </c>
      <c r="I2" s="31">
        <f>COUNTIF($F$2:$F$38,"PASS")</f>
        <v>37</v>
      </c>
      <c r="J2" s="13" t="str">
        <f>INDEX($B$2:$B$38,MATCH("M021",$A$2:$A$38,0))</f>
        <v>Investment banking fees</v>
      </c>
      <c r="K2" s="26">
        <f>INDEX($E$2:$E$38,MATCH("M021",$A$2:$A$38,0))</f>
        <v>0.1224632610216935</v>
      </c>
      <c r="M2" t="str">
        <f>INDEX($B$2:$B$38,MATCH("M024",$A$2:$A$38,0))</f>
        <v>Asset management fees</v>
      </c>
      <c r="N2" s="26">
        <f>INDEX($E$2:$E$38,MATCH("M024",$A$2:$A$38,0))</f>
        <v>2.5929283771532186E-2</v>
      </c>
      <c r="P2" t="str">
        <f>INDEX($B$2:$B$38,MATCH("M029",$A$2:$A$38,0))</f>
        <v>Other income</v>
      </c>
      <c r="Q2" s="26">
        <f>INDEX($E$2:$E$38,MATCH("M029",$A$2:$A$38,0))</f>
        <v>3.5176540993417116</v>
      </c>
    </row>
    <row r="3" spans="1:17" x14ac:dyDescent="0.35">
      <c r="A3" s="10" t="s">
        <v>16</v>
      </c>
      <c r="B3" t="str">
        <f>INDEX(Raw_Data!$C$2:$C$38,MATCH($A3,Raw_Data!$A$2:$A$38,0))</f>
        <v>Total Noninterest Expense</v>
      </c>
      <c r="C3">
        <f>INDEX(Raw_Data!$H$2:$H$38,MATCH($A3,Raw_Data!$A$2:$A$38,0))</f>
        <v>26850</v>
      </c>
      <c r="D3">
        <f>INDEX(Raw_Data!$G$2:$G$38,MATCH($A3,Raw_Data!$A$2:$A$38,0))</f>
        <v>27316</v>
      </c>
      <c r="E3" s="26">
        <f t="shared" si="0"/>
        <v>1.7355679702048418E-2</v>
      </c>
      <c r="F3" s="17" t="str">
        <f>IF(AND(B3=INDEX(Raw_Data!$C$2:$C$38,MATCH($A3,Raw_Data!$A$2:$A$38,0)),C3=INDEX(Raw_Data!$H$2:$H$38,MATCH($A3,Raw_Data!$A$2:$A$38,0)),D3=INDEX(Raw_Data!$G$2:$G$38,MATCH($A3,Raw_Data!$A$2:$A$38,0))),"PASS","FAIL")</f>
        <v>PASS</v>
      </c>
      <c r="H3" s="31" t="s">
        <v>111</v>
      </c>
      <c r="I3" s="31">
        <f>COUNTA(Raw_Data!$A$2:$A$38)</f>
        <v>37</v>
      </c>
      <c r="J3" s="6" t="str">
        <f>INDEX($B$2:$B$38,MATCH("M022",$A$2:$A$38,0))</f>
        <v>Principal transactions</v>
      </c>
      <c r="K3" s="26">
        <f>INDEX($E$2:$E$38,MATCH("M022",$A$2:$A$38,0))</f>
        <v>0.12770752472768249</v>
      </c>
      <c r="M3" t="str">
        <f>INDEX($B$2:$B$38,MATCH("M023",$A$2:$A$38,0))</f>
        <v>Lending- and deposit-related fees</v>
      </c>
      <c r="N3" s="26">
        <f>INDEX($E$2:$E$38,MATCH("M023",$A$2:$A$38,0))</f>
        <v>4.8872180451127817E-2</v>
      </c>
      <c r="P3" t="str">
        <f>INDEX($B$2:$B$38,MATCH("M030",$A$2:$A$38,0))</f>
        <v>Total net revenue</v>
      </c>
      <c r="Q3" s="26">
        <f>INDEX($E$2:$E$38,MATCH("M030",$A$2:$A$38,0))</f>
        <v>0.15071434304518821</v>
      </c>
    </row>
    <row r="4" spans="1:17" x14ac:dyDescent="0.35">
      <c r="A4" s="10" t="s">
        <v>18</v>
      </c>
      <c r="B4" t="str">
        <f>INDEX(Raw_Data!$C$2:$C$38,MATCH($A4,Raw_Data!$A$2:$A$38,0))</f>
        <v>Pre Provision Profit</v>
      </c>
      <c r="C4" s="10">
        <f>INDEX(Raw_Data!$H$2:$H$38,MATCH($A4,Raw_Data!$A$2:$A$38,0))</f>
        <v>22986</v>
      </c>
      <c r="D4" s="10">
        <f>INDEX(Raw_Data!$G$2:$G$38,MATCH($A4,Raw_Data!$A$2:$A$38,0))</f>
        <v>30031</v>
      </c>
      <c r="E4" s="25">
        <f t="shared" si="0"/>
        <v>0.3064909075089185</v>
      </c>
      <c r="F4" s="17" t="str">
        <f>IF(AND(B4=INDEX(Raw_Data!$C$2:$C$38,MATCH($A4,Raw_Data!$A$2:$A$38,0)),C4=INDEX(Raw_Data!$H$2:$H$38,MATCH($A4,Raw_Data!$A$2:$A$38,0)),D4=INDEX(Raw_Data!$G$2:$G$38,MATCH($A4,Raw_Data!$A$2:$A$38,0))),"PASS","FAIL")</f>
        <v>PASS</v>
      </c>
      <c r="H4" s="31" t="s">
        <v>112</v>
      </c>
      <c r="I4" s="31" t="str">
        <f>IF(AND(I2=I3,COUNTIF($F$2:$F$38,"FAIL")=0),"PASS","FAIL")</f>
        <v>PASS</v>
      </c>
      <c r="J4" s="13" t="str">
        <f>INDEX($B$2:$B$38,MATCH("M023",$A$2:$A$38,0))</f>
        <v>Lending- and deposit-related fees</v>
      </c>
      <c r="K4" s="26">
        <f>INDEX($E$2:$E$38,MATCH("M023",$A$2:$A$38,0))</f>
        <v>4.8872180451127817E-2</v>
      </c>
      <c r="M4" t="str">
        <f>INDEX($B$2:$B$38,MATCH("M025",$A$2:$A$38,0))</f>
        <v>Commissions and other fees</v>
      </c>
      <c r="N4" s="26">
        <f>INDEX($E$2:$E$38,MATCH("M025",$A$2:$A$38,0))</f>
        <v>5.3182917002417403E-2</v>
      </c>
      <c r="P4" t="str">
        <f>INDEX($B$2:$B$38,MATCH("M028",$A$2:$A$38,0))</f>
        <v>Card income</v>
      </c>
      <c r="Q4" s="26">
        <f>INDEX($E$2:$E$38,MATCH("M028",$A$2:$A$38,0))</f>
        <v>0.13277310924369748</v>
      </c>
    </row>
    <row r="5" spans="1:17" x14ac:dyDescent="0.35">
      <c r="A5" s="10" t="s">
        <v>20</v>
      </c>
      <c r="B5" t="str">
        <f>INDEX(Raw_Data!$C$2:$C$38,MATCH($A5,Raw_Data!$A$2:$A$38,0))</f>
        <v>Provision for Credit Losses</v>
      </c>
      <c r="C5">
        <f>INDEX(Raw_Data!$H$2:$H$38,MATCH($A5,Raw_Data!$A$2:$A$38,0))</f>
        <v>2507</v>
      </c>
      <c r="D5">
        <f>INDEX(Raw_Data!$G$2:$G$38,MATCH($A5,Raw_Data!$A$2:$A$38,0))</f>
        <v>2515</v>
      </c>
      <c r="E5" s="26">
        <f t="shared" si="0"/>
        <v>3.1910650179497405E-3</v>
      </c>
      <c r="F5" s="17" t="str">
        <f>IF(AND(B5=INDEX(Raw_Data!$C$2:$C$38,MATCH($A5,Raw_Data!$A$2:$A$38,0)),C5=INDEX(Raw_Data!$H$2:$H$38,MATCH($A5,Raw_Data!$A$2:$A$38,0)),D5=INDEX(Raw_Data!$G$2:$G$38,MATCH($A5,Raw_Data!$A$2:$A$38,0))),"PASS","FAIL")</f>
        <v>PASS</v>
      </c>
      <c r="J5" s="6" t="str">
        <f>INDEX($B$2:$B$38,MATCH("M024",$A$2:$A$38,0))</f>
        <v>Asset management fees</v>
      </c>
      <c r="K5" s="26">
        <f>INDEX($E$2:$E$38,MATCH("M024",$A$2:$A$38,0))</f>
        <v>2.5929283771532186E-2</v>
      </c>
      <c r="M5" t="str">
        <f>INDEX($B$2:$B$38,MATCH("M027",$A$2:$A$38,0))</f>
        <v>Mortgage fees and related income</v>
      </c>
      <c r="N5" s="26">
        <f>INDEX($E$2:$E$38,MATCH("M027",$A$2:$A$38,0))</f>
        <v>8.7378640776699032E-2</v>
      </c>
      <c r="P5" t="str">
        <f>INDEX($B$2:$B$38,MATCH("M022",$A$2:$A$38,0))</f>
        <v>Principal transactions</v>
      </c>
      <c r="Q5" s="26">
        <f>INDEX($E$2:$E$38,MATCH("M022",$A$2:$A$38,0))</f>
        <v>0.12770752472768249</v>
      </c>
    </row>
    <row r="6" spans="1:17" x14ac:dyDescent="0.35">
      <c r="A6" s="7" t="s">
        <v>21</v>
      </c>
      <c r="B6" s="4" t="str">
        <f>INDEX(Raw_Data!$C$2:$C$38,MATCH($A6,Raw_Data!$A$2:$A$38,0))</f>
        <v>Net Income</v>
      </c>
      <c r="C6" s="8">
        <f>INDEX(Raw_Data!$H$2:$H$38,MATCH($A6,Raw_Data!$A$2:$A$38,0))</f>
        <v>16494</v>
      </c>
      <c r="D6" s="8">
        <f>INDEX(Raw_Data!$G$2:$G$38,MATCH($A6,Raw_Data!$A$2:$A$38,0))</f>
        <v>21155</v>
      </c>
      <c r="E6" s="27">
        <f t="shared" si="0"/>
        <v>0.28258760761489027</v>
      </c>
      <c r="F6" s="17" t="str">
        <f>IF(AND(B6=INDEX(Raw_Data!$C$2:$C$38,MATCH($A6,Raw_Data!$A$2:$A$38,0)),C6=INDEX(Raw_Data!$H$2:$H$38,MATCH($A6,Raw_Data!$A$2:$A$38,0)),D6=INDEX(Raw_Data!$G$2:$G$38,MATCH($A6,Raw_Data!$A$2:$A$38,0))),"PASS","FAIL")</f>
        <v>PASS</v>
      </c>
      <c r="I6" s="4"/>
      <c r="J6" s="9" t="str">
        <f>INDEX($B$2:$B$38,MATCH("M025",$A$2:$A$38,0))</f>
        <v>Commissions and other fees</v>
      </c>
      <c r="K6" s="26">
        <f>INDEX($E$2:$E$38,MATCH("M025",$A$2:$A$38,0))</f>
        <v>5.3182917002417403E-2</v>
      </c>
    </row>
    <row r="7" spans="1:17" x14ac:dyDescent="0.35">
      <c r="A7" s="7" t="s">
        <v>25</v>
      </c>
      <c r="B7" s="4" t="str">
        <f>INDEX(Raw_Data!$C$2:$C$38,MATCH($A7,Raw_Data!$A$2:$A$38,0))</f>
        <v>Segment Net Revenue</v>
      </c>
      <c r="C7" s="5">
        <f>INDEX(Raw_Data!$H$2:$H$38,MATCH($A7,Raw_Data!$A$2:$A$38,0))</f>
        <v>50536</v>
      </c>
      <c r="D7" s="5">
        <f>INDEX(Raw_Data!$G$2:$G$38,MATCH($A7,Raw_Data!$A$2:$A$38,0))</f>
        <v>58022</v>
      </c>
      <c r="E7" s="26">
        <f t="shared" si="0"/>
        <v>0.14813202469526673</v>
      </c>
      <c r="F7" s="17" t="str">
        <f>IF(AND(B7=INDEX(Raw_Data!$C$2:$C$38,MATCH($A7,Raw_Data!$A$2:$A$38,0)),C7=INDEX(Raw_Data!$H$2:$H$38,MATCH($A7,Raw_Data!$A$2:$A$38,0)),D7=INDEX(Raw_Data!$G$2:$G$38,MATCH($A7,Raw_Data!$A$2:$A$38,0))),"PASS","FAIL")</f>
        <v>PASS</v>
      </c>
      <c r="I7" s="4"/>
      <c r="J7" s="6" t="str">
        <f>INDEX($B$2:$B$38,MATCH("M026",$A$2:$A$38,0))</f>
        <v>Investment securities gains/(losses)</v>
      </c>
      <c r="K7" s="26" t="str">
        <f>INDEX($E$2:$E$38,MATCH("M026",$A$2:$A$38,0))</f>
        <v>NM</v>
      </c>
    </row>
    <row r="8" spans="1:17" x14ac:dyDescent="0.35">
      <c r="A8" s="10" t="s">
        <v>26</v>
      </c>
      <c r="B8" t="str">
        <f>INDEX(Raw_Data!$C$2:$C$38,MATCH($A8,Raw_Data!$A$2:$A$38,0))</f>
        <v>Segment Noninterest Expense</v>
      </c>
      <c r="C8" s="10">
        <f>INDEX(Raw_Data!$H$2:$H$38,MATCH($A8,Raw_Data!$A$2:$A$38,0))</f>
        <v>26850</v>
      </c>
      <c r="D8" s="10">
        <f>INDEX(Raw_Data!$G$2:$G$38,MATCH($A8,Raw_Data!$A$2:$A$38,0))</f>
        <v>27316</v>
      </c>
      <c r="E8" s="25">
        <f t="shared" si="0"/>
        <v>1.7355679702048418E-2</v>
      </c>
      <c r="F8" s="17" t="str">
        <f>IF(AND(B8=INDEX(Raw_Data!$C$2:$C$38,MATCH($A8,Raw_Data!$A$2:$A$38,0)),C8=INDEX(Raw_Data!$H$2:$H$38,MATCH($A8,Raw_Data!$A$2:$A$38,0)),D8=INDEX(Raw_Data!$G$2:$G$38,MATCH($A8,Raw_Data!$A$2:$A$38,0))),"PASS","FAIL")</f>
        <v>PASS</v>
      </c>
      <c r="J8" s="13" t="str">
        <f>INDEX($B$2:$B$38,MATCH("M027",$A$2:$A$38,0))</f>
        <v>Mortgage fees and related income</v>
      </c>
      <c r="K8" s="26">
        <f>INDEX($E$2:$E$38,MATCH("M027",$A$2:$A$38,0))</f>
        <v>8.7378640776699032E-2</v>
      </c>
    </row>
    <row r="9" spans="1:17" x14ac:dyDescent="0.35">
      <c r="A9" s="10" t="s">
        <v>27</v>
      </c>
      <c r="B9" t="str">
        <f>INDEX(Raw_Data!$C$2:$C$38,MATCH($A9,Raw_Data!$A$2:$A$38,0))</f>
        <v>Segment Pre-Provision Profit</v>
      </c>
      <c r="C9">
        <f>INDEX(Raw_Data!$H$2:$H$38,MATCH($A9,Raw_Data!$A$2:$A$38,0))</f>
        <v>23686</v>
      </c>
      <c r="D9">
        <f>INDEX(Raw_Data!$G$2:$G$38,MATCH($A9,Raw_Data!$A$2:$A$38,0))</f>
        <v>30706</v>
      </c>
      <c r="E9" s="26">
        <f t="shared" si="0"/>
        <v>0.29637760702524696</v>
      </c>
      <c r="F9" s="17" t="str">
        <f>IF(AND(B9=INDEX(Raw_Data!$C$2:$C$38,MATCH($A9,Raw_Data!$A$2:$A$38,0)),C9=INDEX(Raw_Data!$H$2:$H$38,MATCH($A9,Raw_Data!$A$2:$A$38,0)),D9=INDEX(Raw_Data!$G$2:$G$38,MATCH($A9,Raw_Data!$A$2:$A$38,0))),"PASS","FAIL")</f>
        <v>PASS</v>
      </c>
      <c r="J9" s="6" t="str">
        <f>INDEX($B$2:$B$38,MATCH("M028",$A$2:$A$38,0))</f>
        <v>Card income</v>
      </c>
      <c r="K9" s="26">
        <f>INDEX($E$2:$E$38,MATCH("M028",$A$2:$A$38,0))</f>
        <v>0.13277310924369748</v>
      </c>
    </row>
    <row r="10" spans="1:17" x14ac:dyDescent="0.35">
      <c r="A10" t="s">
        <v>28</v>
      </c>
      <c r="B10" t="str">
        <f>INDEX(Raw_Data!$C$2:$C$38,MATCH($A10,Raw_Data!$A$2:$A$38,0))</f>
        <v>Segment Provision for Credit Losses</v>
      </c>
      <c r="C10">
        <f>INDEX(Raw_Data!$H$2:$H$38,MATCH($A10,Raw_Data!$A$2:$A$38,0))</f>
        <v>2507</v>
      </c>
      <c r="D10">
        <f>INDEX(Raw_Data!$G$2:$G$38,MATCH($A10,Raw_Data!$A$2:$A$38,0))</f>
        <v>2515</v>
      </c>
      <c r="E10" s="26">
        <f t="shared" si="0"/>
        <v>3.1910650179497405E-3</v>
      </c>
      <c r="F10" s="17" t="str">
        <f>IF(AND(B10=INDEX(Raw_Data!$C$2:$C$38,MATCH($A10,Raw_Data!$A$2:$A$38,0)),C10=INDEX(Raw_Data!$H$2:$H$38,MATCH($A10,Raw_Data!$A$2:$A$38,0)),D10=INDEX(Raw_Data!$G$2:$G$38,MATCH($A10,Raw_Data!$A$2:$A$38,0))),"PASS","FAIL")</f>
        <v>PASS</v>
      </c>
      <c r="J10" s="6" t="str">
        <f>INDEX($B$2:$B$38,MATCH("M029",$A$2:$A$38,0))</f>
        <v>Other income</v>
      </c>
      <c r="K10" s="26">
        <f>INDEX($E$2:$E$38,MATCH("M029",$A$2:$A$38,0))</f>
        <v>3.5176540993417116</v>
      </c>
    </row>
    <row r="11" spans="1:17" x14ac:dyDescent="0.35">
      <c r="A11" t="s">
        <v>29</v>
      </c>
      <c r="B11" t="str">
        <f>INDEX(Raw_Data!$C$2:$C$38,MATCH($A11,Raw_Data!$A$2:$A$38,0))</f>
        <v>Segment for net income</v>
      </c>
      <c r="C11">
        <f>INDEX(Raw_Data!$H$2:$H$38,MATCH($A11,Raw_Data!$A$2:$A$38,0))</f>
        <v>16494</v>
      </c>
      <c r="D11">
        <f>INDEX(Raw_Data!$G$2:$G$38,MATCH($A11,Raw_Data!$A$2:$A$38,0))</f>
        <v>21155</v>
      </c>
      <c r="E11" s="26">
        <f t="shared" si="0"/>
        <v>0.28258760761489027</v>
      </c>
      <c r="F11" s="17" t="str">
        <f>IF(AND(B11=INDEX(Raw_Data!$C$2:$C$38,MATCH($A11,Raw_Data!$A$2:$A$38,0)),C11=INDEX(Raw_Data!$H$2:$H$38,MATCH($A11,Raw_Data!$A$2:$A$38,0)),D11=INDEX(Raw_Data!$G$2:$G$38,MATCH($A11,Raw_Data!$A$2:$A$38,0))),"PASS","FAIL")</f>
        <v>PASS</v>
      </c>
      <c r="J11" s="6" t="str">
        <f>INDEX($B$2:$B$38,MATCH("M030",$A$2:$A$38,0))</f>
        <v>Total net revenue</v>
      </c>
      <c r="K11" s="26">
        <f>INDEX($E$2:$E$38,MATCH("M030",$A$2:$A$38,0))</f>
        <v>0.15071434304518821</v>
      </c>
    </row>
    <row r="12" spans="1:17" x14ac:dyDescent="0.35">
      <c r="A12" t="s">
        <v>30</v>
      </c>
      <c r="B12" t="str">
        <f>INDEX(Raw_Data!$C$2:$C$38,MATCH($A12,Raw_Data!$A$2:$A$38,0))</f>
        <v>Total Assets</v>
      </c>
      <c r="C12">
        <f>INDEX(Raw_Data!$H$2:$H$38,MATCH($A12,Raw_Data!$A$2:$A$38,0))</f>
        <v>4900475</v>
      </c>
      <c r="D12">
        <f>INDEX(Raw_Data!$G$2:$G$38,MATCH($A12,Raw_Data!$A$2:$A$38,0))</f>
        <v>5015069</v>
      </c>
      <c r="E12" s="26">
        <f t="shared" si="0"/>
        <v>2.3384263770348794E-2</v>
      </c>
      <c r="F12" s="17" t="str">
        <f>IF(AND(B12=INDEX(Raw_Data!$C$2:$C$38,MATCH($A12,Raw_Data!$A$2:$A$38,0)),C12=INDEX(Raw_Data!$H$2:$H$38,MATCH($A12,Raw_Data!$A$2:$A$38,0)),D12=INDEX(Raw_Data!$G$2:$G$38,MATCH($A12,Raw_Data!$A$2:$A$38,0))),"PASS","FAIL")</f>
        <v>PASS</v>
      </c>
    </row>
    <row r="13" spans="1:17" x14ac:dyDescent="0.35">
      <c r="A13" s="11" t="s">
        <v>31</v>
      </c>
      <c r="B13" t="str">
        <f>INDEX(Raw_Data!$C$2:$C$38,MATCH($A13,Raw_Data!$A$2:$A$38,0))</f>
        <v>Total Loans</v>
      </c>
      <c r="C13" s="5">
        <f>INDEX(Raw_Data!$H$2:$H$38,MATCH($A13,Raw_Data!$A$2:$A$38,0))</f>
        <v>1503520</v>
      </c>
      <c r="D13" s="5">
        <f>INDEX(Raw_Data!$G$2:$G$38,MATCH($A13,Raw_Data!$A$2:$A$38,0))</f>
        <v>1542462</v>
      </c>
      <c r="E13" s="26">
        <f t="shared" si="0"/>
        <v>2.5900553368096203E-2</v>
      </c>
      <c r="F13" s="17" t="str">
        <f>IF(AND(B13=INDEX(Raw_Data!$C$2:$C$38,MATCH($A13,Raw_Data!$A$2:$A$38,0)),C13=INDEX(Raw_Data!$H$2:$H$38,MATCH($A13,Raw_Data!$A$2:$A$38,0)),D13=INDEX(Raw_Data!$G$2:$G$38,MATCH($A13,Raw_Data!$A$2:$A$38,0))),"PASS","FAIL")</f>
        <v>PASS</v>
      </c>
    </row>
    <row r="14" spans="1:17" x14ac:dyDescent="0.35">
      <c r="A14" t="s">
        <v>32</v>
      </c>
      <c r="B14" t="str">
        <f>INDEX(Raw_Data!$C$2:$C$38,MATCH($A14,Raw_Data!$A$2:$A$38,0))</f>
        <v>Total Deposits</v>
      </c>
      <c r="C14">
        <f>INDEX(Raw_Data!$H$2:$H$38,MATCH($A14,Raw_Data!$A$2:$A$38,0))</f>
        <v>2675250</v>
      </c>
      <c r="D14">
        <f>INDEX(Raw_Data!$G$2:$G$38,MATCH($A14,Raw_Data!$A$2:$A$38,0))</f>
        <v>2713700</v>
      </c>
      <c r="E14" s="26">
        <f t="shared" si="0"/>
        <v>1.4372488552471731E-2</v>
      </c>
      <c r="F14" s="17" t="str">
        <f>IF(AND(B14=INDEX(Raw_Data!$C$2:$C$38,MATCH($A14,Raw_Data!$A$2:$A$38,0)),C14=INDEX(Raw_Data!$H$2:$H$38,MATCH($A14,Raw_Data!$A$2:$A$38,0)),D14=INDEX(Raw_Data!$G$2:$G$38,MATCH($A14,Raw_Data!$A$2:$A$38,0))),"PASS","FAIL")</f>
        <v>PASS</v>
      </c>
    </row>
    <row r="15" spans="1:17" x14ac:dyDescent="0.35">
      <c r="A15" t="s">
        <v>33</v>
      </c>
      <c r="B15" t="str">
        <f>INDEX(Raw_Data!$C$2:$C$38,MATCH($A15,Raw_Data!$A$2:$A$38,0))</f>
        <v>Common Stockholders' Equity</v>
      </c>
      <c r="C15">
        <f>INDEX(Raw_Data!$H$2:$H$38,MATCH($A15,Raw_Data!$A$2:$A$38,0))</f>
        <v>343993</v>
      </c>
      <c r="D15">
        <f>INDEX(Raw_Data!$G$2:$G$38,MATCH($A15,Raw_Data!$A$2:$A$38,0))</f>
        <v>353558</v>
      </c>
      <c r="E15" s="26">
        <f t="shared" si="0"/>
        <v>2.7805798373804119E-2</v>
      </c>
      <c r="F15" s="17" t="str">
        <f>IF(AND(B15=INDEX(Raw_Data!$C$2:$C$38,MATCH($A15,Raw_Data!$A$2:$A$38,0)),C15=INDEX(Raw_Data!$H$2:$H$38,MATCH($A15,Raw_Data!$A$2:$A$38,0)),D15=INDEX(Raw_Data!$G$2:$G$38,MATCH($A15,Raw_Data!$A$2:$A$38,0))),"PASS","FAIL")</f>
        <v>PASS</v>
      </c>
    </row>
    <row r="16" spans="1:17" x14ac:dyDescent="0.35">
      <c r="A16" t="s">
        <v>34</v>
      </c>
      <c r="B16" t="str">
        <f>INDEX(Raw_Data!$C$2:$C$38,MATCH($A16,Raw_Data!$A$2:$A$38,0))</f>
        <v>Long-Term Debt</v>
      </c>
      <c r="C16">
        <f>INDEX(Raw_Data!$H$2:$H$38,MATCH($A16,Raw_Data!$A$2:$A$38,0))</f>
        <v>448764</v>
      </c>
      <c r="D16">
        <f>INDEX(Raw_Data!$G$2:$G$38,MATCH($A16,Raw_Data!$A$2:$A$38,0))</f>
        <v>460523</v>
      </c>
      <c r="E16" s="26">
        <f t="shared" si="0"/>
        <v>2.6203082243673737E-2</v>
      </c>
      <c r="F16" s="17" t="str">
        <f>IF(AND(B16=INDEX(Raw_Data!$C$2:$C$38,MATCH($A16,Raw_Data!$A$2:$A$38,0)),C16=INDEX(Raw_Data!$H$2:$H$38,MATCH($A16,Raw_Data!$A$2:$A$38,0)),D16=INDEX(Raw_Data!$G$2:$G$38,MATCH($A16,Raw_Data!$A$2:$A$38,0))),"PASS","FAIL")</f>
        <v>PASS</v>
      </c>
    </row>
    <row r="17" spans="1:10" x14ac:dyDescent="0.35">
      <c r="A17" t="s">
        <v>35</v>
      </c>
      <c r="B17" t="str">
        <f>INDEX(Raw_Data!$C$2:$C$38,MATCH($A17,Raw_Data!$A$2:$A$38,0))</f>
        <v>Loans-to-Deposits Ratio</v>
      </c>
      <c r="C17">
        <f>INDEX(Raw_Data!$H$2:$H$38,MATCH($A17,Raw_Data!$A$2:$A$38,0))</f>
        <v>0.56000000000000005</v>
      </c>
      <c r="D17">
        <f>INDEX(Raw_Data!$G$2:$G$38,MATCH($A17,Raw_Data!$A$2:$A$38,0))</f>
        <v>0.56999999999999995</v>
      </c>
      <c r="E17" s="26">
        <f t="shared" si="0"/>
        <v>1.7857142857142672E-2</v>
      </c>
      <c r="F17" s="17" t="str">
        <f>IF(AND(B17=INDEX(Raw_Data!$C$2:$C$38,MATCH($A17,Raw_Data!$A$2:$A$38,0)),C17=INDEX(Raw_Data!$H$2:$H$38,MATCH($A17,Raw_Data!$A$2:$A$38,0)),D17=INDEX(Raw_Data!$G$2:$G$38,MATCH($A17,Raw_Data!$A$2:$A$38,0))),"PASS","FAIL")</f>
        <v>PASS</v>
      </c>
    </row>
    <row r="18" spans="1:10" x14ac:dyDescent="0.35">
      <c r="A18" t="s">
        <v>36</v>
      </c>
      <c r="B18" t="str">
        <f>INDEX(Raw_Data!$C$2:$C$38,MATCH($A18,Raw_Data!$A$2:$A$38,0))</f>
        <v>Employees</v>
      </c>
      <c r="C18">
        <f>INDEX(Raw_Data!$H$2:$H$38,MATCH($A18,Raw_Data!$A$2:$A$38,0))</f>
        <v>320079</v>
      </c>
      <c r="D18">
        <f>INDEX(Raw_Data!$G$2:$G$38,MATCH($A18,Raw_Data!$A$2:$A$38,0))</f>
        <v>320560</v>
      </c>
      <c r="E18" s="26">
        <f t="shared" si="0"/>
        <v>1.5027540076043727E-3</v>
      </c>
      <c r="F18" s="17" t="str">
        <f>IF(AND(B18=INDEX(Raw_Data!$C$2:$C$38,MATCH($A18,Raw_Data!$A$2:$A$38,0)),C18=INDEX(Raw_Data!$H$2:$H$38,MATCH($A18,Raw_Data!$A$2:$A$38,0)),D18=INDEX(Raw_Data!$G$2:$G$38,MATCH($A18,Raw_Data!$A$2:$A$38,0))),"PASS","FAIL")</f>
        <v>PASS</v>
      </c>
    </row>
    <row r="19" spans="1:10" x14ac:dyDescent="0.35">
      <c r="A19" t="s">
        <v>37</v>
      </c>
      <c r="B19" t="str">
        <f>INDEX(Raw_Data!$C$2:$C$38,MATCH($A19,Raw_Data!$A$2:$A$38,0))</f>
        <v>Average VaR</v>
      </c>
      <c r="C19">
        <f>INDEX(Raw_Data!$H$2:$H$38,MATCH($A19,Raw_Data!$A$2:$A$38,0))</f>
        <v>37</v>
      </c>
      <c r="D19">
        <f>INDEX(Raw_Data!$G$2:$G$38,MATCH($A19,Raw_Data!$A$2:$A$38,0))</f>
        <v>49</v>
      </c>
      <c r="E19" s="26">
        <f t="shared" si="0"/>
        <v>0.32432432432432434</v>
      </c>
      <c r="F19" s="17" t="str">
        <f>IF(AND(B19=INDEX(Raw_Data!$C$2:$C$38,MATCH($A19,Raw_Data!$A$2:$A$38,0)),C19=INDEX(Raw_Data!$H$2:$H$38,MATCH($A19,Raw_Data!$A$2:$A$38,0)),D19=INDEX(Raw_Data!$G$2:$G$38,MATCH($A19,Raw_Data!$A$2:$A$38,0))),"PASS","FAIL")</f>
        <v>PASS</v>
      </c>
    </row>
    <row r="20" spans="1:10" x14ac:dyDescent="0.35">
      <c r="A20" s="11" t="s">
        <v>38</v>
      </c>
      <c r="B20" t="str">
        <f>INDEX(Raw_Data!$C$2:$C$38,MATCH($A20,Raw_Data!$A$2:$A$38,0))</f>
        <v>Earnings-at-Risk +100 bps shift in rates</v>
      </c>
      <c r="C20" s="12">
        <f>INDEX(Raw_Data!$H$2:$H$38,MATCH($A20,Raw_Data!$A$2:$A$38,0))</f>
        <v>1.9</v>
      </c>
      <c r="D20" s="12">
        <f>INDEX(Raw_Data!$G$2:$G$38,MATCH($A20,Raw_Data!$A$2:$A$38,0))</f>
        <v>1.8</v>
      </c>
      <c r="E20" s="28">
        <f t="shared" si="0"/>
        <v>-5.2631578947368356E-2</v>
      </c>
      <c r="F20" s="17" t="str">
        <f>IF(AND(B20=INDEX(Raw_Data!$C$2:$C$38,MATCH($A20,Raw_Data!$A$2:$A$38,0)),C20=INDEX(Raw_Data!$H$2:$H$38,MATCH($A20,Raw_Data!$A$2:$A$38,0)),D20=INDEX(Raw_Data!$G$2:$G$38,MATCH($A20,Raw_Data!$A$2:$A$38,0))),"PASS","FAIL")</f>
        <v>PASS</v>
      </c>
      <c r="J20" s="14"/>
    </row>
    <row r="21" spans="1:10" x14ac:dyDescent="0.35">
      <c r="A21" t="s">
        <v>39</v>
      </c>
      <c r="B21" t="str">
        <f>INDEX(Raw_Data!$C$2:$C$38,MATCH($A21,Raw_Data!$A$2:$A$38,0))</f>
        <v>Earnings-at-Risk -100 bps shift in rates</v>
      </c>
      <c r="C21">
        <f>INDEX(Raw_Data!$H$2:$H$38,MATCH($A21,Raw_Data!$A$2:$A$38,0))</f>
        <v>-2.2000000000000002</v>
      </c>
      <c r="D21">
        <f>INDEX(Raw_Data!$G$2:$G$38,MATCH($A21,Raw_Data!$A$2:$A$38,0))</f>
        <v>-2.4</v>
      </c>
      <c r="E21" s="26">
        <f t="shared" si="0"/>
        <v>-9.0909090909090787E-2</v>
      </c>
      <c r="F21" s="17" t="str">
        <f>IF(AND(B21=INDEX(Raw_Data!$C$2:$C$38,MATCH($A21,Raw_Data!$A$2:$A$38,0)),C21=INDEX(Raw_Data!$H$2:$H$38,MATCH($A21,Raw_Data!$A$2:$A$38,0)),D21=INDEX(Raw_Data!$G$2:$G$38,MATCH($A21,Raw_Data!$A$2:$A$38,0))),"PASS","FAIL")</f>
        <v>PASS</v>
      </c>
    </row>
    <row r="22" spans="1:10" x14ac:dyDescent="0.35">
      <c r="A22" t="s">
        <v>40</v>
      </c>
      <c r="B22" t="str">
        <f>INDEX(Raw_Data!$C$2:$C$38,MATCH($A22,Raw_Data!$A$2:$A$38,0))</f>
        <v>Investment banking fees</v>
      </c>
      <c r="C22">
        <f>INDEX(Raw_Data!$H$2:$H$38,MATCH($A22,Raw_Data!$A$2:$A$38,0))</f>
        <v>2858</v>
      </c>
      <c r="D22">
        <f>INDEX(Raw_Data!$G$2:$G$38,MATCH($A22,Raw_Data!$A$2:$A$38,0))</f>
        <v>3208</v>
      </c>
      <c r="E22" s="26">
        <f t="shared" si="0"/>
        <v>0.1224632610216935</v>
      </c>
      <c r="F22" s="17" t="str">
        <f>IF(AND(B22=INDEX(Raw_Data!$C$2:$C$38,MATCH($A22,Raw_Data!$A$2:$A$38,0)),C22=INDEX(Raw_Data!$H$2:$H$38,MATCH($A22,Raw_Data!$A$2:$A$38,0)),D22=INDEX(Raw_Data!$G$2:$G$38,MATCH($A22,Raw_Data!$A$2:$A$38,0))),"PASS","FAIL")</f>
        <v>PASS</v>
      </c>
    </row>
    <row r="23" spans="1:10" x14ac:dyDescent="0.35">
      <c r="A23" t="s">
        <v>41</v>
      </c>
      <c r="B23" t="str">
        <f>INDEX(Raw_Data!$C$2:$C$38,MATCH($A23,Raw_Data!$A$2:$A$38,0))</f>
        <v>Principal transactions</v>
      </c>
      <c r="C23">
        <f>INDEX(Raw_Data!$H$2:$H$38,MATCH($A23,Raw_Data!$A$2:$A$38,0))</f>
        <v>7987</v>
      </c>
      <c r="D23">
        <f>INDEX(Raw_Data!$G$2:$G$38,MATCH($A23,Raw_Data!$A$2:$A$38,0))</f>
        <v>9007</v>
      </c>
      <c r="E23" s="26">
        <f t="shared" si="0"/>
        <v>0.12770752472768249</v>
      </c>
      <c r="F23" s="17" t="str">
        <f>IF(AND(B23=INDEX(Raw_Data!$C$2:$C$38,MATCH($A23,Raw_Data!$A$2:$A$38,0)),C23=INDEX(Raw_Data!$H$2:$H$38,MATCH($A23,Raw_Data!$A$2:$A$38,0)),D23=INDEX(Raw_Data!$G$2:$G$38,MATCH($A23,Raw_Data!$A$2:$A$38,0))),"PASS","FAIL")</f>
        <v>PASS</v>
      </c>
    </row>
    <row r="24" spans="1:10" x14ac:dyDescent="0.35">
      <c r="A24" t="s">
        <v>42</v>
      </c>
      <c r="B24" t="str">
        <f>INDEX(Raw_Data!$C$2:$C$38,MATCH($A24,Raw_Data!$A$2:$A$38,0))</f>
        <v>Lending- and deposit-related fees</v>
      </c>
      <c r="C24">
        <f>INDEX(Raw_Data!$H$2:$H$38,MATCH($A24,Raw_Data!$A$2:$A$38,0))</f>
        <v>2394</v>
      </c>
      <c r="D24">
        <f>INDEX(Raw_Data!$G$2:$G$38,MATCH($A24,Raw_Data!$A$2:$A$38,0))</f>
        <v>2511</v>
      </c>
      <c r="E24" s="26">
        <f t="shared" si="0"/>
        <v>4.8872180451127817E-2</v>
      </c>
      <c r="F24" s="17" t="str">
        <f>IF(AND(B24=INDEX(Raw_Data!$C$2:$C$38,MATCH($A24,Raw_Data!$A$2:$A$38,0)),C24=INDEX(Raw_Data!$H$2:$H$38,MATCH($A24,Raw_Data!$A$2:$A$38,0)),D24=INDEX(Raw_Data!$G$2:$G$38,MATCH($A24,Raw_Data!$A$2:$A$38,0))),"PASS","FAIL")</f>
        <v>PASS</v>
      </c>
    </row>
    <row r="25" spans="1:10" x14ac:dyDescent="0.35">
      <c r="A25" s="11" t="s">
        <v>43</v>
      </c>
      <c r="B25" t="str">
        <f>INDEX(Raw_Data!$C$2:$C$38,MATCH($A25,Raw_Data!$A$2:$A$38,0))</f>
        <v>Asset management fees</v>
      </c>
      <c r="C25" s="5">
        <f>INDEX(Raw_Data!$H$2:$H$38,MATCH($A25,Raw_Data!$A$2:$A$38,0))</f>
        <v>5515</v>
      </c>
      <c r="D25" s="5">
        <f>INDEX(Raw_Data!$G$2:$G$38,MATCH($A25,Raw_Data!$A$2:$A$38,0))</f>
        <v>5658</v>
      </c>
      <c r="E25" s="26">
        <f t="shared" si="0"/>
        <v>2.5929283771532186E-2</v>
      </c>
      <c r="F25" s="17" t="str">
        <f>IF(AND(B25=INDEX(Raw_Data!$C$2:$C$38,MATCH($A25,Raw_Data!$A$2:$A$38,0)),C25=INDEX(Raw_Data!$H$2:$H$38,MATCH($A25,Raw_Data!$A$2:$A$38,0)),D25=INDEX(Raw_Data!$G$2:$G$38,MATCH($A25,Raw_Data!$A$2:$A$38,0))),"PASS","FAIL")</f>
        <v>PASS</v>
      </c>
    </row>
    <row r="26" spans="1:10" x14ac:dyDescent="0.35">
      <c r="A26" t="s">
        <v>71</v>
      </c>
      <c r="B26" t="str">
        <f>INDEX(Raw_Data!$C$2:$C$38,MATCH($A26,Raw_Data!$A$2:$A$38,0))</f>
        <v>Commissions and other fees</v>
      </c>
      <c r="C26">
        <f>INDEX(Raw_Data!$H$2:$H$38,MATCH($A26,Raw_Data!$A$2:$A$38,0))</f>
        <v>2482</v>
      </c>
      <c r="D26">
        <f>INDEX(Raw_Data!$G$2:$G$38,MATCH($A26,Raw_Data!$A$2:$A$38,0))</f>
        <v>2614</v>
      </c>
      <c r="E26" s="26">
        <f t="shared" si="0"/>
        <v>5.3182917002417403E-2</v>
      </c>
      <c r="F26" s="17" t="str">
        <f>IF(AND(B26=INDEX(Raw_Data!$C$2:$C$38,MATCH($A26,Raw_Data!$A$2:$A$38,0)),C26=INDEX(Raw_Data!$H$2:$H$38,MATCH($A26,Raw_Data!$A$2:$A$38,0)),D26=INDEX(Raw_Data!$G$2:$G$38,MATCH($A26,Raw_Data!$A$2:$A$38,0))),"PASS","FAIL")</f>
        <v>PASS</v>
      </c>
    </row>
    <row r="27" spans="1:10" x14ac:dyDescent="0.35">
      <c r="A27" t="s">
        <v>72</v>
      </c>
      <c r="B27" t="str">
        <f>INDEX(Raw_Data!$C$2:$C$38,MATCH($A27,Raw_Data!$A$2:$A$38,0))</f>
        <v>Investment securities gains/(losses)</v>
      </c>
      <c r="C27">
        <f>INDEX(Raw_Data!$H$2:$H$38,MATCH($A27,Raw_Data!$A$2:$A$38,0))</f>
        <v>64</v>
      </c>
      <c r="D27">
        <f>INDEX(Raw_Data!$G$2:$G$38,MATCH($A27,Raw_Data!$A$2:$A$38,0))</f>
        <v>-395</v>
      </c>
      <c r="E27" s="26" t="str">
        <f t="shared" si="0"/>
        <v>NM</v>
      </c>
      <c r="F27" s="17" t="str">
        <f>IF(AND(B27=INDEX(Raw_Data!$C$2:$C$38,MATCH($A27,Raw_Data!$A$2:$A$38,0)),C27=INDEX(Raw_Data!$H$2:$H$38,MATCH($A27,Raw_Data!$A$2:$A$38,0)),D27=INDEX(Raw_Data!$G$2:$G$38,MATCH($A27,Raw_Data!$A$2:$A$38,0))),"PASS","FAIL")</f>
        <v>PASS</v>
      </c>
    </row>
    <row r="28" spans="1:10" x14ac:dyDescent="0.35">
      <c r="A28" s="11" t="s">
        <v>73</v>
      </c>
      <c r="B28" s="4" t="str">
        <f>INDEX(Raw_Data!$C$2:$C$38,MATCH($A28,Raw_Data!$A$2:$A$38,0))</f>
        <v>Mortgage fees and related income</v>
      </c>
      <c r="C28" s="12">
        <f>INDEX(Raw_Data!$H$2:$H$38,MATCH($A28,Raw_Data!$A$2:$A$38,0))</f>
        <v>309</v>
      </c>
      <c r="D28" s="12">
        <f>INDEX(Raw_Data!$G$2:$G$38,MATCH($A28,Raw_Data!$A$2:$A$38,0))</f>
        <v>336</v>
      </c>
      <c r="E28" s="28">
        <f t="shared" si="0"/>
        <v>8.7378640776699032E-2</v>
      </c>
      <c r="F28" s="17" t="str">
        <f>IF(AND(B28=INDEX(Raw_Data!$C$2:$C$38,MATCH($A28,Raw_Data!$A$2:$A$38,0)),C28=INDEX(Raw_Data!$H$2:$H$38,MATCH($A28,Raw_Data!$A$2:$A$38,0)),D28=INDEX(Raw_Data!$G$2:$G$38,MATCH($A28,Raw_Data!$A$2:$A$38,0))),"PASS","FAIL")</f>
        <v>PASS</v>
      </c>
      <c r="I28" s="4"/>
      <c r="J28" s="14"/>
    </row>
    <row r="29" spans="1:10" x14ac:dyDescent="0.35">
      <c r="A29" s="11" t="s">
        <v>74</v>
      </c>
      <c r="B29" s="4" t="str">
        <f>INDEX(Raw_Data!$C$2:$C$38,MATCH($A29,Raw_Data!$A$2:$A$38,0))</f>
        <v>Card income</v>
      </c>
      <c r="C29" s="5">
        <f>INDEX(Raw_Data!$H$2:$H$38,MATCH($A29,Raw_Data!$A$2:$A$38,0))</f>
        <v>1190</v>
      </c>
      <c r="D29" s="5">
        <f>INDEX(Raw_Data!$G$2:$G$38,MATCH($A29,Raw_Data!$A$2:$A$38,0))</f>
        <v>1348</v>
      </c>
      <c r="E29" s="26">
        <f t="shared" si="0"/>
        <v>0.13277310924369748</v>
      </c>
      <c r="F29" s="17" t="str">
        <f>IF(AND(B29=INDEX(Raw_Data!$C$2:$C$38,MATCH($A29,Raw_Data!$A$2:$A$38,0)),C29=INDEX(Raw_Data!$H$2:$H$38,MATCH($A29,Raw_Data!$A$2:$A$38,0)),D29=INDEX(Raw_Data!$G$2:$G$38,MATCH($A29,Raw_Data!$A$2:$A$38,0))),"PASS","FAIL")</f>
        <v>PASS</v>
      </c>
      <c r="I29" s="4"/>
    </row>
    <row r="30" spans="1:10" x14ac:dyDescent="0.35">
      <c r="A30" t="s">
        <v>75</v>
      </c>
      <c r="B30" t="str">
        <f>INDEX(Raw_Data!$C$2:$C$38,MATCH($A30,Raw_Data!$A$2:$A$38,0))</f>
        <v>Other income</v>
      </c>
      <c r="C30">
        <f>INDEX(Raw_Data!$H$2:$H$38,MATCH($A30,Raw_Data!$A$2:$A$38,0))</f>
        <v>1671</v>
      </c>
      <c r="D30">
        <f>INDEX(Raw_Data!$G$2:$G$38,MATCH($A30,Raw_Data!$A$2:$A$38,0))</f>
        <v>7549</v>
      </c>
      <c r="E30" s="26">
        <f t="shared" si="0"/>
        <v>3.5176540993417116</v>
      </c>
      <c r="F30" s="17" t="str">
        <f>IF(AND(B30=INDEX(Raw_Data!$C$2:$C$38,MATCH($A30,Raw_Data!$A$2:$A$38,0)),C30=INDEX(Raw_Data!$H$2:$H$38,MATCH($A30,Raw_Data!$A$2:$A$38,0)),D30=INDEX(Raw_Data!$G$2:$G$38,MATCH($A30,Raw_Data!$A$2:$A$38,0))),"PASS","FAIL")</f>
        <v>PASS</v>
      </c>
    </row>
    <row r="31" spans="1:10" x14ac:dyDescent="0.35">
      <c r="A31" t="s">
        <v>76</v>
      </c>
      <c r="B31" t="str">
        <f>INDEX(Raw_Data!$C$2:$C$38,MATCH($A31,Raw_Data!$A$2:$A$38,0))</f>
        <v>Total net revenue</v>
      </c>
      <c r="C31">
        <f>INDEX(Raw_Data!$H$2:$H$38,MATCH($A31,Raw_Data!$A$2:$A$38,0))</f>
        <v>49836</v>
      </c>
      <c r="D31">
        <f>INDEX(Raw_Data!$G$2:$G$38,MATCH($A31,Raw_Data!$A$2:$A$38,0))</f>
        <v>57347</v>
      </c>
      <c r="E31" s="26">
        <f t="shared" si="0"/>
        <v>0.15071434304518821</v>
      </c>
      <c r="F31" s="17" t="str">
        <f>IF(AND(B31=INDEX(Raw_Data!$C$2:$C$38,MATCH($A31,Raw_Data!$A$2:$A$38,0)),C31=INDEX(Raw_Data!$H$2:$H$38,MATCH($A31,Raw_Data!$A$2:$A$38,0)),D31=INDEX(Raw_Data!$G$2:$G$38,MATCH($A31,Raw_Data!$A$2:$A$38,0))),"PASS","FAIL")</f>
        <v>PASS</v>
      </c>
    </row>
    <row r="32" spans="1:10" x14ac:dyDescent="0.35">
      <c r="A32" t="s">
        <v>83</v>
      </c>
      <c r="B32" t="str">
        <f>INDEX(Raw_Data!$C$2:$C$38,MATCH($A32,Raw_Data!$A$2:$A$38,0))</f>
        <v>Compensation expense</v>
      </c>
      <c r="C32">
        <f>INDEX(Raw_Data!$H$2:$H$38,MATCH($A32,Raw_Data!$A$2:$A$38,0))</f>
        <v>15339</v>
      </c>
      <c r="D32">
        <f>INDEX(Raw_Data!$G$2:$G$38,MATCH($A32,Raw_Data!$A$2:$A$38,0))</f>
        <v>15159</v>
      </c>
      <c r="E32" s="26">
        <f t="shared" si="0"/>
        <v>-1.1734793663211422E-2</v>
      </c>
      <c r="F32" s="17" t="str">
        <f>IF(AND(B32=INDEX(Raw_Data!$C$2:$C$38,MATCH($A32,Raw_Data!$A$2:$A$38,0)),C32=INDEX(Raw_Data!$H$2:$H$38,MATCH($A32,Raw_Data!$A$2:$A$38,0)),D32=INDEX(Raw_Data!$G$2:$G$38,MATCH($A32,Raw_Data!$A$2:$A$38,0))),"PASS","FAIL")</f>
        <v>PASS</v>
      </c>
    </row>
    <row r="33" spans="1:10" x14ac:dyDescent="0.35">
      <c r="A33" t="s">
        <v>86</v>
      </c>
      <c r="B33" t="str">
        <f>INDEX(Raw_Data!$C$2:$C$38,MATCH($A33,Raw_Data!$A$2:$A$38,0))</f>
        <v>Occupancy expense</v>
      </c>
      <c r="C33">
        <f>INDEX(Raw_Data!$H$2:$H$38,MATCH($A33,Raw_Data!$A$2:$A$38,0))</f>
        <v>1447</v>
      </c>
      <c r="D33">
        <f>INDEX(Raw_Data!$G$2:$G$38,MATCH($A33,Raw_Data!$A$2:$A$38,0))</f>
        <v>1482</v>
      </c>
      <c r="E33" s="26">
        <f t="shared" si="0"/>
        <v>2.4187975120939877E-2</v>
      </c>
      <c r="F33" s="17" t="str">
        <f>IF(AND(B33=INDEX(Raw_Data!$C$2:$C$38,MATCH($A33,Raw_Data!$A$2:$A$38,0)),C33=INDEX(Raw_Data!$H$2:$H$38,MATCH($A33,Raw_Data!$A$2:$A$38,0)),D33=INDEX(Raw_Data!$G$2:$G$38,MATCH($A33,Raw_Data!$A$2:$A$38,0))),"PASS","FAIL")</f>
        <v>PASS</v>
      </c>
    </row>
    <row r="34" spans="1:10" x14ac:dyDescent="0.35">
      <c r="A34" t="s">
        <v>87</v>
      </c>
      <c r="B34" t="str">
        <f>INDEX(Raw_Data!$C$2:$C$38,MATCH($A34,Raw_Data!$A$2:$A$38,0))</f>
        <v>Technology, communications and equipment expense</v>
      </c>
      <c r="C34">
        <f>INDEX(Raw_Data!$H$2:$H$38,MATCH($A34,Raw_Data!$A$2:$A$38,0))</f>
        <v>3021</v>
      </c>
      <c r="D34">
        <f>INDEX(Raw_Data!$G$2:$G$38,MATCH($A34,Raw_Data!$A$2:$A$38,0))</f>
        <v>3107</v>
      </c>
      <c r="E34" s="26">
        <f t="shared" si="0"/>
        <v>2.8467394902350215E-2</v>
      </c>
      <c r="F34" s="17" t="str">
        <f>IF(AND(B34=INDEX(Raw_Data!$C$2:$C$38,MATCH($A34,Raw_Data!$A$2:$A$38,0)),C34=INDEX(Raw_Data!$H$2:$H$38,MATCH($A34,Raw_Data!$A$2:$A$38,0)),D34=INDEX(Raw_Data!$G$2:$G$38,MATCH($A34,Raw_Data!$A$2:$A$38,0))),"PASS","FAIL")</f>
        <v>PASS</v>
      </c>
    </row>
    <row r="35" spans="1:10" x14ac:dyDescent="0.35">
      <c r="A35" t="s">
        <v>88</v>
      </c>
      <c r="B35" t="str">
        <f>INDEX(Raw_Data!$C$2:$C$38,MATCH($A35,Raw_Data!$A$2:$A$38,0))</f>
        <v>Professional and outside services</v>
      </c>
      <c r="C35">
        <f>INDEX(Raw_Data!$H$2:$H$38,MATCH($A35,Raw_Data!$A$2:$A$38,0))</f>
        <v>3483</v>
      </c>
      <c r="D35">
        <f>INDEX(Raw_Data!$G$2:$G$38,MATCH($A35,Raw_Data!$A$2:$A$38,0))</f>
        <v>3855</v>
      </c>
      <c r="E35" s="26">
        <f t="shared" si="0"/>
        <v>0.10680447889750215</v>
      </c>
      <c r="F35" s="17" t="str">
        <f>IF(AND(B35=INDEX(Raw_Data!$C$2:$C$38,MATCH($A35,Raw_Data!$A$2:$A$38,0)),C35=INDEX(Raw_Data!$H$2:$H$38,MATCH($A35,Raw_Data!$A$2:$A$38,0)),D35=INDEX(Raw_Data!$G$2:$G$38,MATCH($A35,Raw_Data!$A$2:$A$38,0))),"PASS","FAIL")</f>
        <v>PASS</v>
      </c>
    </row>
    <row r="36" spans="1:10" x14ac:dyDescent="0.35">
      <c r="A36" s="11" t="s">
        <v>89</v>
      </c>
      <c r="B36" t="str">
        <f>INDEX(Raw_Data!$C$2:$C$38,MATCH($A36,Raw_Data!$A$2:$A$38,0))</f>
        <v>Marketing</v>
      </c>
      <c r="C36" s="12">
        <f>INDEX(Raw_Data!$H$2:$H$38,MATCH($A36,Raw_Data!$A$2:$A$38,0))</f>
        <v>1604</v>
      </c>
      <c r="D36" s="12">
        <f>INDEX(Raw_Data!$G$2:$G$38,MATCH($A36,Raw_Data!$A$2:$A$38,0))</f>
        <v>1670</v>
      </c>
      <c r="E36" s="28">
        <f t="shared" si="0"/>
        <v>4.1147132169576058E-2</v>
      </c>
      <c r="F36" s="17" t="str">
        <f>IF(AND(B36=INDEX(Raw_Data!$C$2:$C$38,MATCH($A36,Raw_Data!$A$2:$A$38,0)),C36=INDEX(Raw_Data!$H$2:$H$38,MATCH($A36,Raw_Data!$A$2:$A$38,0)),D36=INDEX(Raw_Data!$G$2:$G$38,MATCH($A36,Raw_Data!$A$2:$A$38,0))),"PASS","FAIL")</f>
        <v>PASS</v>
      </c>
      <c r="J36" s="14"/>
    </row>
    <row r="37" spans="1:10" x14ac:dyDescent="0.35">
      <c r="A37" t="s">
        <v>90</v>
      </c>
      <c r="B37" t="str">
        <f>INDEX(Raw_Data!$C$2:$C$38,MATCH($A37,Raw_Data!$A$2:$A$38,0))</f>
        <v>Other expense</v>
      </c>
      <c r="C37">
        <f>INDEX(Raw_Data!$H$2:$H$38,MATCH($A37,Raw_Data!$A$2:$A$38,0))</f>
        <v>1956</v>
      </c>
      <c r="D37">
        <f>INDEX(Raw_Data!$G$2:$G$38,MATCH($A37,Raw_Data!$A$2:$A$38,0))</f>
        <v>2043</v>
      </c>
      <c r="E37" s="26">
        <f t="shared" si="0"/>
        <v>4.4478527607361963E-2</v>
      </c>
      <c r="F37" s="17" t="str">
        <f>IF(AND(B37=INDEX(Raw_Data!$C$2:$C$38,MATCH($A37,Raw_Data!$A$2:$A$38,0)),C37=INDEX(Raw_Data!$H$2:$H$38,MATCH($A37,Raw_Data!$A$2:$A$38,0)),D37=INDEX(Raw_Data!$G$2:$G$38,MATCH($A37,Raw_Data!$A$2:$A$38,0))),"PASS","FAIL")</f>
        <v>PASS</v>
      </c>
    </row>
    <row r="38" spans="1:10" x14ac:dyDescent="0.35">
      <c r="A38" t="s">
        <v>91</v>
      </c>
      <c r="B38" t="str">
        <f>INDEX(Raw_Data!$C$2:$C$38,MATCH($A38,Raw_Data!$A$2:$A$38,0))</f>
        <v>Total noninterest expense</v>
      </c>
      <c r="C38">
        <f>INDEX(Raw_Data!$H$2:$H$38,MATCH($A38,Raw_Data!$A$2:$A$38,0))</f>
        <v>26850</v>
      </c>
      <c r="D38">
        <f>INDEX(Raw_Data!$G$2:$G$38,MATCH($A38,Raw_Data!$A$2:$A$38,0))</f>
        <v>27316</v>
      </c>
      <c r="E38" s="26">
        <f t="shared" si="0"/>
        <v>1.7355679702048418E-2</v>
      </c>
      <c r="F38" s="17" t="str">
        <f>IF(AND(B38=INDEX(Raw_Data!$C$2:$C$38,MATCH($A38,Raw_Data!$A$2:$A$38,0)),C38=INDEX(Raw_Data!$H$2:$H$38,MATCH($A38,Raw_Data!$A$2:$A$38,0)),D38=INDEX(Raw_Data!$G$2:$G$38,MATCH($A38,Raw_Data!$A$2:$A$38,0))),"PASS","FAIL")</f>
        <v>PASS</v>
      </c>
    </row>
  </sheetData>
  <sortState xmlns:xlrd2="http://schemas.microsoft.com/office/spreadsheetml/2017/richdata2" ref="A2:E38">
    <sortCondition descending="1" ref="E2:E38"/>
  </sortState>
  <conditionalFormatting sqref="E1:E1048576">
    <cfRule type="top10" dxfId="13" priority="4" rank="3"/>
    <cfRule type="top10" dxfId="12" priority="5" bottom="1" rank="3"/>
    <cfRule type="top10" dxfId="11" priority="6" rank="2"/>
  </conditionalFormatting>
  <conditionalFormatting sqref="J1:J1048576">
    <cfRule type="top10" dxfId="10" priority="1" rank="3"/>
    <cfRule type="top10" dxfId="9" priority="2" bottom="1" rank="3"/>
    <cfRule type="top10" dxfId="8" priority="3" rank="2"/>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
  <sheetViews>
    <sheetView topLeftCell="A2" zoomScale="74" workbookViewId="0">
      <selection activeCell="C10" sqref="C10"/>
    </sheetView>
  </sheetViews>
  <sheetFormatPr defaultRowHeight="14.5" x14ac:dyDescent="0.35"/>
  <cols>
    <col min="1" max="1" width="10.90625" customWidth="1"/>
    <col min="2" max="2" width="12.26953125" bestFit="1" customWidth="1"/>
    <col min="3" max="3" width="46.26953125" bestFit="1" customWidth="1"/>
    <col min="6" max="6" width="13.54296875"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t="s">
        <v>15</v>
      </c>
      <c r="E2" t="s">
        <v>14</v>
      </c>
      <c r="F2">
        <v>2</v>
      </c>
      <c r="G2">
        <v>57347</v>
      </c>
      <c r="H2">
        <v>49836</v>
      </c>
      <c r="I2">
        <v>45798</v>
      </c>
      <c r="J2">
        <v>46427</v>
      </c>
      <c r="K2">
        <v>44912</v>
      </c>
    </row>
    <row r="3" spans="1:11" x14ac:dyDescent="0.35">
      <c r="A3" t="s">
        <v>16</v>
      </c>
      <c r="B3" t="s">
        <v>12</v>
      </c>
      <c r="C3" t="s">
        <v>17</v>
      </c>
      <c r="D3" t="s">
        <v>15</v>
      </c>
      <c r="E3" t="s">
        <v>14</v>
      </c>
      <c r="F3">
        <v>2</v>
      </c>
      <c r="G3">
        <v>27316</v>
      </c>
      <c r="H3">
        <v>26850</v>
      </c>
      <c r="I3">
        <v>23983</v>
      </c>
      <c r="J3">
        <v>24281</v>
      </c>
      <c r="K3">
        <v>23779</v>
      </c>
    </row>
    <row r="4" spans="1:11" x14ac:dyDescent="0.35">
      <c r="A4" t="s">
        <v>18</v>
      </c>
      <c r="B4" t="s">
        <v>12</v>
      </c>
      <c r="C4" t="s">
        <v>19</v>
      </c>
      <c r="D4" t="s">
        <v>15</v>
      </c>
      <c r="E4" t="s">
        <v>14</v>
      </c>
      <c r="F4">
        <v>2</v>
      </c>
      <c r="G4">
        <v>30031</v>
      </c>
      <c r="H4">
        <v>22986</v>
      </c>
      <c r="I4">
        <v>21815</v>
      </c>
      <c r="J4">
        <v>22146</v>
      </c>
      <c r="K4">
        <v>21133</v>
      </c>
    </row>
    <row r="5" spans="1:11" x14ac:dyDescent="0.35">
      <c r="A5" t="s">
        <v>20</v>
      </c>
      <c r="B5" t="s">
        <v>22</v>
      </c>
      <c r="C5" t="s">
        <v>23</v>
      </c>
      <c r="D5" t="s">
        <v>15</v>
      </c>
      <c r="E5" t="s">
        <v>14</v>
      </c>
      <c r="F5">
        <v>2</v>
      </c>
      <c r="G5">
        <v>2515</v>
      </c>
      <c r="H5">
        <v>2507</v>
      </c>
      <c r="I5">
        <v>4655</v>
      </c>
      <c r="J5">
        <v>3403</v>
      </c>
      <c r="K5">
        <v>2849</v>
      </c>
    </row>
    <row r="6" spans="1:11" x14ac:dyDescent="0.35">
      <c r="A6" t="s">
        <v>21</v>
      </c>
      <c r="B6" t="s">
        <v>12</v>
      </c>
      <c r="C6" t="s">
        <v>24</v>
      </c>
      <c r="D6" t="s">
        <v>15</v>
      </c>
      <c r="E6" t="s">
        <v>14</v>
      </c>
      <c r="F6">
        <v>2</v>
      </c>
      <c r="G6">
        <v>21155</v>
      </c>
      <c r="H6">
        <v>16494</v>
      </c>
      <c r="I6">
        <v>13025</v>
      </c>
      <c r="J6">
        <v>14393</v>
      </c>
      <c r="K6">
        <v>14987</v>
      </c>
    </row>
    <row r="7" spans="1:11" x14ac:dyDescent="0.35">
      <c r="A7" t="s">
        <v>25</v>
      </c>
      <c r="B7" t="s">
        <v>44</v>
      </c>
      <c r="C7" t="s">
        <v>46</v>
      </c>
      <c r="D7" t="s">
        <v>15</v>
      </c>
      <c r="E7" t="s">
        <v>45</v>
      </c>
      <c r="F7">
        <v>8</v>
      </c>
      <c r="G7">
        <v>58022</v>
      </c>
      <c r="H7">
        <v>50536</v>
      </c>
      <c r="I7">
        <v>46767</v>
      </c>
      <c r="J7">
        <v>47120</v>
      </c>
      <c r="K7">
        <v>45680</v>
      </c>
    </row>
    <row r="8" spans="1:11" x14ac:dyDescent="0.35">
      <c r="A8" t="s">
        <v>26</v>
      </c>
      <c r="B8" t="s">
        <v>44</v>
      </c>
      <c r="C8" t="s">
        <v>47</v>
      </c>
      <c r="D8" t="s">
        <v>15</v>
      </c>
      <c r="E8" t="s">
        <v>45</v>
      </c>
      <c r="F8">
        <v>8</v>
      </c>
      <c r="G8">
        <v>27316</v>
      </c>
      <c r="H8">
        <v>26850</v>
      </c>
      <c r="I8">
        <v>23983</v>
      </c>
      <c r="J8">
        <v>24281</v>
      </c>
      <c r="K8">
        <v>23779</v>
      </c>
    </row>
    <row r="9" spans="1:11" x14ac:dyDescent="0.35">
      <c r="A9" t="s">
        <v>27</v>
      </c>
      <c r="B9" t="s">
        <v>44</v>
      </c>
      <c r="C9" t="s">
        <v>48</v>
      </c>
      <c r="D9" t="s">
        <v>15</v>
      </c>
      <c r="E9" t="s">
        <v>45</v>
      </c>
      <c r="F9">
        <v>8</v>
      </c>
      <c r="G9">
        <v>30706</v>
      </c>
      <c r="H9">
        <v>23686</v>
      </c>
      <c r="I9">
        <v>22784</v>
      </c>
      <c r="J9">
        <v>22839</v>
      </c>
      <c r="K9">
        <v>21901</v>
      </c>
    </row>
    <row r="10" spans="1:11" x14ac:dyDescent="0.35">
      <c r="A10" t="s">
        <v>28</v>
      </c>
      <c r="B10" t="s">
        <v>44</v>
      </c>
      <c r="C10" t="s">
        <v>49</v>
      </c>
      <c r="D10" t="s">
        <v>15</v>
      </c>
      <c r="E10" t="s">
        <v>45</v>
      </c>
      <c r="F10">
        <v>8</v>
      </c>
      <c r="G10">
        <v>2515</v>
      </c>
      <c r="H10">
        <v>2507</v>
      </c>
      <c r="I10">
        <v>4655</v>
      </c>
      <c r="J10">
        <v>3403</v>
      </c>
      <c r="K10">
        <v>2849</v>
      </c>
    </row>
    <row r="11" spans="1:11" x14ac:dyDescent="0.35">
      <c r="A11" t="s">
        <v>29</v>
      </c>
      <c r="B11" t="s">
        <v>44</v>
      </c>
      <c r="C11" t="s">
        <v>50</v>
      </c>
      <c r="D11" t="s">
        <v>15</v>
      </c>
      <c r="E11" t="s">
        <v>45</v>
      </c>
      <c r="F11">
        <v>8</v>
      </c>
      <c r="G11">
        <v>21155</v>
      </c>
      <c r="H11">
        <v>16494</v>
      </c>
      <c r="I11">
        <v>13025</v>
      </c>
      <c r="J11">
        <v>14393</v>
      </c>
      <c r="K11">
        <v>14987</v>
      </c>
    </row>
    <row r="12" spans="1:11" x14ac:dyDescent="0.35">
      <c r="A12" t="s">
        <v>30</v>
      </c>
      <c r="B12" t="s">
        <v>51</v>
      </c>
      <c r="C12" t="s">
        <v>52</v>
      </c>
      <c r="D12" t="s">
        <v>15</v>
      </c>
      <c r="E12" t="s">
        <v>14</v>
      </c>
      <c r="F12">
        <v>3</v>
      </c>
      <c r="G12">
        <v>5015069</v>
      </c>
      <c r="H12">
        <v>4900475</v>
      </c>
      <c r="I12">
        <v>4424900</v>
      </c>
      <c r="J12">
        <v>4560205</v>
      </c>
      <c r="K12">
        <v>4552482</v>
      </c>
    </row>
    <row r="13" spans="1:11" x14ac:dyDescent="0.35">
      <c r="A13" t="s">
        <v>31</v>
      </c>
      <c r="B13" t="s">
        <v>51</v>
      </c>
      <c r="C13" t="s">
        <v>53</v>
      </c>
      <c r="D13" t="s">
        <v>15</v>
      </c>
      <c r="E13" t="s">
        <v>14</v>
      </c>
      <c r="F13">
        <v>3</v>
      </c>
      <c r="G13">
        <v>1542462</v>
      </c>
      <c r="H13">
        <v>1503520</v>
      </c>
      <c r="I13">
        <v>1493429</v>
      </c>
      <c r="J13">
        <v>1453246</v>
      </c>
      <c r="K13">
        <v>1411992</v>
      </c>
    </row>
    <row r="14" spans="1:11" x14ac:dyDescent="0.35">
      <c r="A14" t="s">
        <v>32</v>
      </c>
      <c r="B14" t="s">
        <v>51</v>
      </c>
      <c r="C14" t="s">
        <v>54</v>
      </c>
      <c r="D14" t="s">
        <v>15</v>
      </c>
      <c r="E14" t="s">
        <v>14</v>
      </c>
      <c r="F14">
        <v>3</v>
      </c>
      <c r="G14">
        <v>2713700</v>
      </c>
      <c r="H14">
        <v>2675250</v>
      </c>
      <c r="I14">
        <v>2593320</v>
      </c>
      <c r="J14">
        <v>2548476</v>
      </c>
      <c r="K14">
        <v>2562380</v>
      </c>
    </row>
    <row r="15" spans="1:11" x14ac:dyDescent="0.35">
      <c r="A15" t="s">
        <v>33</v>
      </c>
      <c r="B15" t="s">
        <v>51</v>
      </c>
      <c r="C15" t="s">
        <v>55</v>
      </c>
      <c r="D15" t="s">
        <v>15</v>
      </c>
      <c r="E15" t="s">
        <v>14</v>
      </c>
      <c r="F15">
        <v>3</v>
      </c>
      <c r="G15">
        <v>353558</v>
      </c>
      <c r="H15">
        <v>343993</v>
      </c>
      <c r="I15">
        <v>342393</v>
      </c>
      <c r="J15">
        <v>340167</v>
      </c>
      <c r="K15">
        <v>336879</v>
      </c>
    </row>
    <row r="16" spans="1:11" x14ac:dyDescent="0.35">
      <c r="A16" t="s">
        <v>34</v>
      </c>
      <c r="B16" t="s">
        <v>51</v>
      </c>
      <c r="C16" t="s">
        <v>56</v>
      </c>
      <c r="D16" t="s">
        <v>15</v>
      </c>
      <c r="E16" t="s">
        <v>14</v>
      </c>
      <c r="F16">
        <v>3</v>
      </c>
      <c r="G16">
        <v>460523</v>
      </c>
      <c r="H16">
        <v>448764</v>
      </c>
      <c r="I16">
        <v>435206</v>
      </c>
      <c r="J16">
        <v>427203</v>
      </c>
      <c r="K16">
        <v>419802</v>
      </c>
    </row>
    <row r="17" spans="1:11" x14ac:dyDescent="0.35">
      <c r="A17" t="s">
        <v>35</v>
      </c>
      <c r="B17" t="s">
        <v>51</v>
      </c>
      <c r="C17" t="s">
        <v>57</v>
      </c>
      <c r="D17" t="s">
        <v>58</v>
      </c>
      <c r="E17" t="s">
        <v>14</v>
      </c>
      <c r="F17">
        <v>3</v>
      </c>
      <c r="G17" s="1">
        <v>0.56999999999999995</v>
      </c>
      <c r="H17" s="1">
        <v>0.56000000000000005</v>
      </c>
      <c r="I17" s="1">
        <v>0.57999999999999996</v>
      </c>
      <c r="J17" s="1">
        <v>0.56000000000000005</v>
      </c>
      <c r="K17" s="1">
        <v>0.55000000000000004</v>
      </c>
    </row>
    <row r="18" spans="1:11" x14ac:dyDescent="0.35">
      <c r="A18" t="s">
        <v>36</v>
      </c>
      <c r="B18" t="s">
        <v>59</v>
      </c>
      <c r="C18" t="s">
        <v>59</v>
      </c>
      <c r="D18" t="s">
        <v>60</v>
      </c>
      <c r="E18" t="s">
        <v>14</v>
      </c>
      <c r="F18">
        <v>3</v>
      </c>
      <c r="G18">
        <v>320560</v>
      </c>
      <c r="H18">
        <v>320079</v>
      </c>
      <c r="I18">
        <v>318512</v>
      </c>
      <c r="J18">
        <v>318153</v>
      </c>
      <c r="K18">
        <v>317160</v>
      </c>
    </row>
    <row r="19" spans="1:11" x14ac:dyDescent="0.35">
      <c r="A19" t="s">
        <v>37</v>
      </c>
      <c r="B19" t="s">
        <v>61</v>
      </c>
      <c r="C19" t="s">
        <v>62</v>
      </c>
      <c r="D19" t="s">
        <v>15</v>
      </c>
      <c r="E19" t="s">
        <v>14</v>
      </c>
      <c r="F19">
        <v>3</v>
      </c>
      <c r="G19">
        <v>49</v>
      </c>
      <c r="H19">
        <v>37</v>
      </c>
      <c r="I19">
        <v>35</v>
      </c>
      <c r="J19">
        <v>33</v>
      </c>
      <c r="K19">
        <v>42</v>
      </c>
    </row>
    <row r="20" spans="1:11" x14ac:dyDescent="0.35">
      <c r="A20" t="s">
        <v>38</v>
      </c>
      <c r="B20" t="s">
        <v>61</v>
      </c>
      <c r="C20" t="s">
        <v>63</v>
      </c>
      <c r="D20" t="s">
        <v>64</v>
      </c>
      <c r="E20" t="s">
        <v>14</v>
      </c>
      <c r="F20">
        <v>3</v>
      </c>
      <c r="G20">
        <v>1.8</v>
      </c>
      <c r="H20">
        <v>1.9</v>
      </c>
      <c r="I20">
        <v>2.1</v>
      </c>
      <c r="J20">
        <v>1.8</v>
      </c>
      <c r="K20">
        <v>1.8</v>
      </c>
    </row>
    <row r="21" spans="1:11" x14ac:dyDescent="0.35">
      <c r="A21" t="s">
        <v>39</v>
      </c>
      <c r="B21" t="s">
        <v>61</v>
      </c>
      <c r="C21" t="s">
        <v>65</v>
      </c>
      <c r="D21" t="s">
        <v>64</v>
      </c>
      <c r="E21" t="s">
        <v>14</v>
      </c>
      <c r="F21">
        <v>3</v>
      </c>
      <c r="G21">
        <v>-2.4</v>
      </c>
      <c r="H21">
        <v>-2.2000000000000002</v>
      </c>
      <c r="I21">
        <v>-2.4</v>
      </c>
      <c r="J21">
        <v>-2.2000000000000002</v>
      </c>
      <c r="K21">
        <v>-2</v>
      </c>
    </row>
    <row r="22" spans="1:11" x14ac:dyDescent="0.35">
      <c r="A22" t="s">
        <v>40</v>
      </c>
      <c r="B22" t="s">
        <v>66</v>
      </c>
      <c r="C22" t="s">
        <v>67</v>
      </c>
      <c r="D22" t="s">
        <v>15</v>
      </c>
      <c r="E22" t="s">
        <v>14</v>
      </c>
      <c r="F22">
        <v>4</v>
      </c>
      <c r="G22">
        <v>3208</v>
      </c>
      <c r="H22">
        <v>2858</v>
      </c>
      <c r="I22">
        <v>2326</v>
      </c>
      <c r="J22">
        <v>2612</v>
      </c>
      <c r="K22">
        <v>2499</v>
      </c>
    </row>
    <row r="23" spans="1:11" x14ac:dyDescent="0.35">
      <c r="A23" t="s">
        <v>41</v>
      </c>
      <c r="B23" t="s">
        <v>66</v>
      </c>
      <c r="C23" t="s">
        <v>68</v>
      </c>
      <c r="D23" t="s">
        <v>15</v>
      </c>
      <c r="E23" t="s">
        <v>14</v>
      </c>
      <c r="F23">
        <v>4</v>
      </c>
      <c r="G23">
        <v>9007</v>
      </c>
      <c r="H23">
        <v>7987</v>
      </c>
      <c r="I23">
        <v>5340</v>
      </c>
      <c r="J23">
        <v>7109</v>
      </c>
      <c r="K23">
        <v>7149</v>
      </c>
    </row>
    <row r="24" spans="1:11" x14ac:dyDescent="0.35">
      <c r="A24" t="s">
        <v>42</v>
      </c>
      <c r="B24" t="s">
        <v>66</v>
      </c>
      <c r="C24" t="s">
        <v>69</v>
      </c>
      <c r="D24" t="s">
        <v>15</v>
      </c>
      <c r="E24" t="s">
        <v>14</v>
      </c>
      <c r="F24">
        <v>4</v>
      </c>
      <c r="G24">
        <v>2511</v>
      </c>
      <c r="H24">
        <v>2394</v>
      </c>
      <c r="I24">
        <v>2364</v>
      </c>
      <c r="J24">
        <v>3294</v>
      </c>
      <c r="K24">
        <v>2248</v>
      </c>
    </row>
    <row r="25" spans="1:11" x14ac:dyDescent="0.35">
      <c r="A25" t="s">
        <v>43</v>
      </c>
      <c r="B25" t="s">
        <v>66</v>
      </c>
      <c r="C25" t="s">
        <v>70</v>
      </c>
      <c r="D25" t="s">
        <v>15</v>
      </c>
      <c r="E25" t="s">
        <v>14</v>
      </c>
      <c r="F25">
        <v>4</v>
      </c>
      <c r="G25">
        <v>5658</v>
      </c>
      <c r="H25">
        <v>5515</v>
      </c>
      <c r="I25">
        <v>5701</v>
      </c>
      <c r="J25">
        <v>5120</v>
      </c>
      <c r="K25">
        <v>4806</v>
      </c>
    </row>
    <row r="26" spans="1:11" x14ac:dyDescent="0.35">
      <c r="A26" t="s">
        <v>71</v>
      </c>
      <c r="B26" t="s">
        <v>66</v>
      </c>
      <c r="C26" t="s">
        <v>77</v>
      </c>
      <c r="D26" t="s">
        <v>15</v>
      </c>
      <c r="E26" t="s">
        <v>14</v>
      </c>
      <c r="F26">
        <v>4</v>
      </c>
      <c r="G26">
        <v>2614</v>
      </c>
      <c r="H26">
        <v>2482</v>
      </c>
      <c r="I26">
        <v>2108</v>
      </c>
      <c r="J26">
        <v>2204</v>
      </c>
      <c r="K26">
        <v>2194</v>
      </c>
    </row>
    <row r="27" spans="1:11" x14ac:dyDescent="0.35">
      <c r="A27" t="s">
        <v>72</v>
      </c>
      <c r="B27" t="s">
        <v>66</v>
      </c>
      <c r="C27" t="s">
        <v>78</v>
      </c>
      <c r="D27" t="s">
        <v>15</v>
      </c>
      <c r="E27" t="s">
        <v>14</v>
      </c>
      <c r="F27">
        <v>4</v>
      </c>
      <c r="G27">
        <v>-395</v>
      </c>
      <c r="H27">
        <v>64</v>
      </c>
      <c r="I27">
        <v>-71</v>
      </c>
      <c r="J27">
        <v>105</v>
      </c>
      <c r="K27">
        <v>-54</v>
      </c>
    </row>
    <row r="28" spans="1:11" x14ac:dyDescent="0.35">
      <c r="A28" t="s">
        <v>73</v>
      </c>
      <c r="B28" t="s">
        <v>66</v>
      </c>
      <c r="C28" t="s">
        <v>79</v>
      </c>
      <c r="D28" t="s">
        <v>15</v>
      </c>
      <c r="E28" t="s">
        <v>14</v>
      </c>
      <c r="F28">
        <v>4</v>
      </c>
      <c r="G28">
        <v>336</v>
      </c>
      <c r="H28">
        <v>309</v>
      </c>
      <c r="I28">
        <v>357</v>
      </c>
      <c r="J28">
        <v>383</v>
      </c>
      <c r="K28">
        <v>363</v>
      </c>
    </row>
    <row r="29" spans="1:11" x14ac:dyDescent="0.35">
      <c r="A29" t="s">
        <v>74</v>
      </c>
      <c r="B29" t="s">
        <v>66</v>
      </c>
      <c r="C29" t="s">
        <v>80</v>
      </c>
      <c r="D29" t="s">
        <v>15</v>
      </c>
      <c r="E29" t="s">
        <v>14</v>
      </c>
      <c r="F29">
        <v>4</v>
      </c>
      <c r="G29" s="2">
        <v>1348</v>
      </c>
      <c r="H29">
        <v>1190</v>
      </c>
      <c r="I29" s="2">
        <v>1020</v>
      </c>
      <c r="J29">
        <v>1140</v>
      </c>
      <c r="K29" s="2">
        <v>1334</v>
      </c>
    </row>
    <row r="30" spans="1:11" x14ac:dyDescent="0.35">
      <c r="A30" t="s">
        <v>75</v>
      </c>
      <c r="B30" t="s">
        <v>66</v>
      </c>
      <c r="C30" t="s">
        <v>81</v>
      </c>
      <c r="D30" t="s">
        <v>15</v>
      </c>
      <c r="E30" t="s">
        <v>14</v>
      </c>
      <c r="F30">
        <v>4</v>
      </c>
      <c r="G30">
        <v>7549</v>
      </c>
      <c r="H30">
        <v>1671</v>
      </c>
      <c r="I30">
        <v>1658</v>
      </c>
      <c r="J30">
        <v>1439</v>
      </c>
      <c r="K30">
        <v>1154</v>
      </c>
    </row>
    <row r="31" spans="1:11" x14ac:dyDescent="0.35">
      <c r="A31" t="s">
        <v>76</v>
      </c>
      <c r="B31" t="s">
        <v>66</v>
      </c>
      <c r="C31" t="s">
        <v>82</v>
      </c>
      <c r="D31" t="s">
        <v>15</v>
      </c>
      <c r="E31" t="s">
        <v>14</v>
      </c>
      <c r="F31">
        <v>4</v>
      </c>
      <c r="G31">
        <v>57347</v>
      </c>
      <c r="H31">
        <v>49836</v>
      </c>
      <c r="I31">
        <v>45798</v>
      </c>
      <c r="J31">
        <v>46427</v>
      </c>
      <c r="K31">
        <v>44912</v>
      </c>
    </row>
    <row r="32" spans="1:11" x14ac:dyDescent="0.35">
      <c r="A32" t="s">
        <v>83</v>
      </c>
      <c r="B32" t="s">
        <v>84</v>
      </c>
      <c r="C32" t="s">
        <v>85</v>
      </c>
      <c r="D32" t="s">
        <v>15</v>
      </c>
      <c r="E32" t="s">
        <v>14</v>
      </c>
      <c r="F32">
        <v>4</v>
      </c>
      <c r="G32">
        <v>15159</v>
      </c>
      <c r="H32">
        <v>15339</v>
      </c>
      <c r="I32">
        <v>13118</v>
      </c>
      <c r="J32">
        <v>13566</v>
      </c>
      <c r="K32">
        <v>13710</v>
      </c>
    </row>
    <row r="33" spans="1:11" x14ac:dyDescent="0.35">
      <c r="A33" t="s">
        <v>86</v>
      </c>
      <c r="B33" t="s">
        <v>84</v>
      </c>
      <c r="C33" t="s">
        <v>92</v>
      </c>
      <c r="D33" t="s">
        <v>15</v>
      </c>
      <c r="E33" t="s">
        <v>14</v>
      </c>
      <c r="F33">
        <v>4</v>
      </c>
      <c r="G33">
        <v>1482</v>
      </c>
      <c r="H33">
        <v>1447</v>
      </c>
      <c r="I33">
        <v>1475</v>
      </c>
      <c r="J33">
        <v>1420</v>
      </c>
      <c r="K33">
        <v>1264</v>
      </c>
    </row>
    <row r="34" spans="1:11" x14ac:dyDescent="0.35">
      <c r="A34" t="s">
        <v>87</v>
      </c>
      <c r="B34" t="s">
        <v>84</v>
      </c>
      <c r="C34" t="s">
        <v>93</v>
      </c>
      <c r="D34" t="s">
        <v>15</v>
      </c>
      <c r="E34" t="s">
        <v>14</v>
      </c>
      <c r="F34">
        <v>4</v>
      </c>
      <c r="G34">
        <v>3107</v>
      </c>
      <c r="H34">
        <v>3021</v>
      </c>
      <c r="I34">
        <v>2908</v>
      </c>
      <c r="J34">
        <v>2839</v>
      </c>
      <c r="K34">
        <v>2704</v>
      </c>
    </row>
    <row r="35" spans="1:11" x14ac:dyDescent="0.35">
      <c r="A35" t="s">
        <v>88</v>
      </c>
      <c r="B35" t="s">
        <v>84</v>
      </c>
      <c r="C35" t="s">
        <v>94</v>
      </c>
      <c r="D35" t="s">
        <v>15</v>
      </c>
      <c r="E35" t="s">
        <v>14</v>
      </c>
      <c r="F35">
        <v>4</v>
      </c>
      <c r="G35">
        <v>3855</v>
      </c>
      <c r="H35">
        <v>3483</v>
      </c>
      <c r="I35">
        <v>3338</v>
      </c>
      <c r="J35">
        <v>3173</v>
      </c>
      <c r="K35">
        <v>3006</v>
      </c>
    </row>
    <row r="36" spans="1:11" x14ac:dyDescent="0.35">
      <c r="A36" t="s">
        <v>89</v>
      </c>
      <c r="B36" t="s">
        <v>84</v>
      </c>
      <c r="C36" t="s">
        <v>95</v>
      </c>
      <c r="D36" t="s">
        <v>15</v>
      </c>
      <c r="E36" t="s">
        <v>14</v>
      </c>
      <c r="F36">
        <v>4</v>
      </c>
      <c r="G36">
        <v>1670</v>
      </c>
      <c r="H36">
        <v>1604</v>
      </c>
      <c r="I36">
        <v>1468</v>
      </c>
      <c r="J36">
        <v>1480</v>
      </c>
      <c r="K36">
        <v>1279</v>
      </c>
    </row>
    <row r="37" spans="1:11" x14ac:dyDescent="0.35">
      <c r="A37" t="s">
        <v>90</v>
      </c>
      <c r="B37" t="s">
        <v>84</v>
      </c>
      <c r="C37" t="s">
        <v>96</v>
      </c>
      <c r="D37" t="s">
        <v>15</v>
      </c>
      <c r="E37" t="s">
        <v>14</v>
      </c>
      <c r="F37">
        <v>4</v>
      </c>
      <c r="G37">
        <v>2043</v>
      </c>
      <c r="H37">
        <v>1956</v>
      </c>
      <c r="I37">
        <v>1676</v>
      </c>
      <c r="J37">
        <v>1803</v>
      </c>
      <c r="K37">
        <v>1816</v>
      </c>
    </row>
    <row r="38" spans="1:11" x14ac:dyDescent="0.35">
      <c r="A38" t="s">
        <v>91</v>
      </c>
      <c r="B38" t="s">
        <v>84</v>
      </c>
      <c r="C38" t="s">
        <v>97</v>
      </c>
      <c r="D38" t="s">
        <v>15</v>
      </c>
      <c r="E38" t="s">
        <v>14</v>
      </c>
      <c r="F38">
        <v>4</v>
      </c>
      <c r="G38">
        <v>27316</v>
      </c>
      <c r="H38">
        <v>26850</v>
      </c>
      <c r="I38">
        <v>23983</v>
      </c>
      <c r="J38">
        <v>24281</v>
      </c>
      <c r="K38">
        <v>23779</v>
      </c>
    </row>
  </sheetData>
  <phoneticPr fontId="3"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CE3F7-A315-4EAC-B15A-C8B46A98AFA1}">
  <dimension ref="A1:M11"/>
  <sheetViews>
    <sheetView showGridLines="0" tabSelected="1" topLeftCell="A2" zoomScale="52" workbookViewId="0">
      <selection activeCell="Q12" sqref="Q12"/>
    </sheetView>
  </sheetViews>
  <sheetFormatPr defaultRowHeight="14.5" x14ac:dyDescent="0.35"/>
  <cols>
    <col min="1" max="1" width="15.6328125" bestFit="1" customWidth="1"/>
    <col min="4" max="4" width="16.08984375" bestFit="1" customWidth="1"/>
    <col min="6" max="6" width="34.6328125" customWidth="1"/>
    <col min="7" max="7" width="12.6328125" customWidth="1"/>
    <col min="12" max="12" width="33.1796875" bestFit="1" customWidth="1"/>
  </cols>
  <sheetData>
    <row r="1" spans="1:13" x14ac:dyDescent="0.35">
      <c r="A1" s="34" t="s">
        <v>105</v>
      </c>
      <c r="B1" s="34"/>
      <c r="C1" s="34"/>
      <c r="D1" s="34"/>
    </row>
    <row r="2" spans="1:13" x14ac:dyDescent="0.35">
      <c r="A2" s="34"/>
      <c r="B2" s="34"/>
      <c r="C2" s="34"/>
      <c r="D2" s="34"/>
      <c r="G2" s="16"/>
      <c r="M2" s="13"/>
    </row>
    <row r="3" spans="1:13" x14ac:dyDescent="0.35">
      <c r="A3" s="34"/>
      <c r="B3" s="34"/>
      <c r="C3" s="34"/>
      <c r="D3" s="34"/>
      <c r="E3" s="16"/>
      <c r="G3" s="15"/>
      <c r="M3" s="22"/>
    </row>
    <row r="4" spans="1:13" x14ac:dyDescent="0.35">
      <c r="A4" s="34"/>
      <c r="B4" s="34"/>
      <c r="C4" s="34"/>
      <c r="D4" s="34"/>
      <c r="G4" s="16"/>
      <c r="M4" s="23"/>
    </row>
    <row r="5" spans="1:13" x14ac:dyDescent="0.35">
      <c r="G5" s="16"/>
      <c r="M5" s="22"/>
    </row>
    <row r="6" spans="1:13" x14ac:dyDescent="0.35">
      <c r="F6" s="17" t="s">
        <v>101</v>
      </c>
      <c r="G6" s="18" t="s">
        <v>104</v>
      </c>
      <c r="L6" s="4"/>
      <c r="M6" s="24"/>
    </row>
    <row r="7" spans="1:13" x14ac:dyDescent="0.35">
      <c r="F7" s="17" t="s">
        <v>114</v>
      </c>
      <c r="G7" s="33">
        <f>MAX(QoQ_Summary!$K$2:$K$11)</f>
        <v>3.5176540993417116</v>
      </c>
      <c r="M7" s="6"/>
    </row>
    <row r="8" spans="1:13" x14ac:dyDescent="0.35">
      <c r="F8" s="17" t="s">
        <v>115</v>
      </c>
      <c r="G8" s="33">
        <f>MEDIAN(QoQ_Summary!$K$2:$K$11)</f>
        <v>0.1224632610216935</v>
      </c>
      <c r="M8" s="6"/>
    </row>
    <row r="9" spans="1:13" x14ac:dyDescent="0.35">
      <c r="F9" s="17" t="s">
        <v>116</v>
      </c>
      <c r="G9" s="33">
        <f>MIN(QoQ_Summary!$K$2:$K$11)</f>
        <v>2.5929283771532186E-2</v>
      </c>
      <c r="M9" s="14"/>
    </row>
    <row r="10" spans="1:13" x14ac:dyDescent="0.35">
      <c r="M10" s="6"/>
    </row>
    <row r="11" spans="1:13" x14ac:dyDescent="0.35">
      <c r="M11" s="6"/>
    </row>
  </sheetData>
  <mergeCells count="1">
    <mergeCell ref="A1:D4"/>
  </mergeCells>
  <conditionalFormatting sqref="M2:M6">
    <cfRule type="top10" dxfId="7" priority="4" rank="3"/>
    <cfRule type="top10" dxfId="6" priority="5" bottom="1" rank="3"/>
    <cfRule type="top10" dxfId="5" priority="6" rank="2"/>
  </conditionalFormatting>
  <conditionalFormatting sqref="M7:M11">
    <cfRule type="top10" dxfId="4" priority="1" rank="3"/>
    <cfRule type="top10" dxfId="3" priority="2" bottom="1" rank="3"/>
    <cfRule type="top10" dxfId="2" priority="3" rank="2"/>
  </conditionalFormatting>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sheetViews>
    <sheetView workbookViewId="0"/>
  </sheetViews>
  <sheetFormatPr defaultRowHeight="15"/>
  <cols>
    <col min="1" max="1" width="28" customWidth="1"/>
    <col min="2" max="2" width="115" customWidth="1"/>
  </cols>
  <sheetData>
    <row r="1">
      <c r="A1" t="inlineStr">
        <is>
          <t>Source_Notes</t>
        </is>
      </c>
    </row>
    <row r="3">
      <c r="A3" t="inlineStr">
        <is>
          <t>Source report</t>
        </is>
      </c>
      <c r="B3" t="inlineStr">
        <is>
          <t>JPMorganChase 2Q26 Earnings Supplement, released 14 July 2026.</t>
        </is>
      </c>
    </row>
    <row r="4">
      <c r="A4" t="inlineStr">
        <is>
          <t>Primary URL</t>
        </is>
      </c>
      <c r="B4" t="inlineStr">
        <is>
          <t>https://www.jpmorganchase.com/content/dam/jpmc/jpmorgan-chase-and-co/investor-relations/documents/quarterly-earnings/2026/2nd-quarter/c9c097af-34e9-4aae-92d2-909a2ab7c083.pdf</t>
        </is>
      </c>
    </row>
    <row r="5">
      <c r="A5" t="inlineStr">
        <is>
          <t>Filing copy</t>
        </is>
      </c>
      <c r="B5" t="inlineStr">
        <is>
          <t>https://www.sec.gov/Archives/edgar/data/19617/000162828026048078/a2q26erfex992supplement.htm</t>
        </is>
      </c>
    </row>
    <row r="6">
      <c r="A6" t="inlineStr">
        <is>
          <t>Metric provenance</t>
        </is>
      </c>
      <c r="B6" t="inlineStr">
        <is>
          <t>Raw_Data retains source page, unit, basis and Metric_ID for every dashboard value.</t>
        </is>
      </c>
    </row>
    <row r="7">
      <c r="A7" t="inlineStr">
        <is>
          <t>QoQ convention</t>
        </is>
      </c>
      <c r="B7" t="inlineStr">
        <is>
          <t>A positive-to-negative (or negative-to-positive) move is shown as N/M and excluded from revenue rankings.</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0FE109-3178-499C-83EE-CB0C4DF823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Pivot_Profitability_QoQ</vt:lpstr>
      <vt:lpstr>Pivot_Expense_QoQ</vt:lpstr>
      <vt:lpstr>Pivot_BalanceSheet_QoQ</vt:lpstr>
      <vt:lpstr>Pivot_Credit_QoQ</vt:lpstr>
      <vt:lpstr>Pivot_Employee_QoQ</vt:lpstr>
      <vt:lpstr>Pivot_Revenue_QoQ</vt:lpstr>
      <vt:lpstr>Pivot_Risk_QoQ</vt:lpstr>
      <vt:lpstr>Pivot_Segment_QoQ</vt:lpstr>
      <vt:lpstr>QoQ_Summary</vt:lpstr>
      <vt:lpstr>Raw_Data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Rimjhim Dutta</dc:creator>
  <cp:lastModifiedBy>Rimjhim Dutta</cp:lastModifiedBy>
  <dcterms:created xsi:type="dcterms:W3CDTF">2015-06-05T18:17:20Z</dcterms:created>
  <dcterms:modified xsi:type="dcterms:W3CDTF">2026-09-06T07:07:22Z</dcterms:modified>
</cp:coreProperties>
</file>